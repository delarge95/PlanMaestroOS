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9844d6ab6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73d7bf919d4e0c"/>
    <x:sheet xmlns:r="http://schemas.openxmlformats.org/officeDocument/2006/relationships" name="Weekly Plan" sheetId="2" r:id="Rdb05be545c194b16"/>
    <x:sheet xmlns:r="http://schemas.openxmlformats.org/officeDocument/2006/relationships" name="Applications" sheetId="3" r:id="R19b9cbe6db164826"/>
    <x:sheet xmlns:r="http://schemas.openxmlformats.org/officeDocument/2006/relationships" name="Assets" sheetId="4" r:id="R12de5f632d834198"/>
    <x:sheet xmlns:r="http://schemas.openxmlformats.org/officeDocument/2006/relationships" name="Study" sheetId="5" r:id="R9cd5f02c81cd4049"/>
    <x:sheet xmlns:r="http://schemas.openxmlformats.org/officeDocument/2006/relationships" name="Offers" sheetId="6" r:id="Rbc8d19e501334a0c"/>
    <x:sheet xmlns:r="http://schemas.openxmlformats.org/officeDocument/2006/relationships" name="Lists" sheetId="7" r:id="Ra06ef854d4e7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yyyy-mm-dd"/>
    <x:numFmt numFmtId="203" formatCode="0%"/>
    <x:numFmt numFmtId="204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E6F"/>
      </x:patternFill>
    </x:fill>
    <x:fill>
      <x:patternFill patternType="solid">
        <x:fgColor rgb="FFEEF7F5"/>
      </x:patternFill>
    </x:fill>
    <x:fill>
      <x:patternFill patternType="solid">
        <x:fgColor rgb="FFFFFFFF"/>
      </x:patternFill>
    </x:fill>
    <x:fill>
      <x:patternFill patternType="solid">
        <x:fgColor rgb="FF7A5A20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204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884203d2d448a" /><Relationship Type="http://schemas.openxmlformats.org/officeDocument/2006/relationships/theme" Target="/xl/theme/theme1.xml" Id="R7469c88598b44039" /><Relationship Type="http://schemas.openxmlformats.org/officeDocument/2006/relationships/sharedStrings" Target="/xl/sharedStrings.xml" Id="Re1bfb56c4a864c49" /><Relationship Type="http://schemas.openxmlformats.org/officeDocument/2006/relationships/worksheet" Target="/xl/worksheets/sheet1.xml" Id="Rea73d7bf919d4e0c" /><Relationship Type="http://schemas.openxmlformats.org/officeDocument/2006/relationships/worksheet" Target="/xl/worksheets/sheet2.xml" Id="Rdb05be545c194b16" /><Relationship Type="http://schemas.openxmlformats.org/officeDocument/2006/relationships/worksheet" Target="/xl/worksheets/sheet3.xml" Id="R19b9cbe6db164826" /><Relationship Type="http://schemas.openxmlformats.org/officeDocument/2006/relationships/worksheet" Target="/xl/worksheets/sheet4.xml" Id="R12de5f632d834198" /><Relationship Type="http://schemas.openxmlformats.org/officeDocument/2006/relationships/worksheet" Target="/xl/worksheets/sheet5.xml" Id="R9cd5f02c81cd4049" /><Relationship Type="http://schemas.openxmlformats.org/officeDocument/2006/relationships/worksheet" Target="/xl/worksheets/sheet6.xml" Id="Rbc8d19e501334a0c" /><Relationship Type="http://schemas.openxmlformats.org/officeDocument/2006/relationships/worksheet" Target="/xl/worksheets/sheet7.xml" Id="Ra06ef854d4e740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554d0b744840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Application Pipeline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Applications</c:v>
          </c:tx>
          <c:cat>
            <c:strRef>
              <c:f>'Dashboard'!$A$19:$A$27</c:f>
              <c:strCache>
                <c:ptCount val="0"/>
              </c:strCache>
            </c:strRef>
          </c:cat>
          <c:val>
            <c:numRef>
              <c:f>'Dashboard'!$B$19:$B$27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554d0b744840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PlanTable" displayName="WeeklyPlanTable" ref="A5:M21" headerRowCount="1">
  <x:autoFilter ref="A5:M21"/>
  <x:tableColumns count="13">
    <x:tableColumn id="1" name="Week"/>
    <x:tableColumn id="2" name="Start"/>
    <x:tableColumn id="3" name="Phase"/>
    <x:tableColumn id="4" name="Primary Goal"/>
    <x:tableColumn id="5" name="Mon"/>
    <x:tableColumn id="6" name="Tue"/>
    <x:tableColumn id="7" name="Wed"/>
    <x:tableColumn id="8" name="Thu"/>
    <x:tableColumn id="9" name="Fri"/>
    <x:tableColumn id="10" name="Status"/>
    <x:tableColumn id="11" name="Completion %"/>
    <x:tableColumn id="12" name="Blocker"/>
    <x:tableColumn id="13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ApplicationsTable" displayName="ApplicationsTable" ref="A5:R125" headerRowCount="1">
  <x:autoFilter ref="A5:R125"/>
  <x:tableColumns count="18">
    <x:tableColumn id="1" name="Date"/>
    <x:tableColumn id="2" name="Company"/>
    <x:tableColumn id="3" name="Role"/>
    <x:tableColumn id="4" name="Layer"/>
    <x:tableColumn id="5" name="Role Family"/>
    <x:tableColumn id="6" name="Role Fit"/>
    <x:tableColumn id="7" name="Portfolio Match"/>
    <x:tableColumn id="8" name="Remote"/>
    <x:tableColumn id="9" name="Contract"/>
    <x:tableColumn id="10" name="Authorization"/>
    <x:tableColumn id="11" name="Salary"/>
    <x:tableColumn id="12" name="Experience"/>
    <x:tableColumn id="13" name="Fit Score"/>
    <x:tableColumn id="14" name="Status"/>
    <x:tableColumn id="15" name="Next Action Date"/>
    <x:tableColumn id="16" name="Portfolio Angle"/>
    <x:tableColumn id="17" name="Contact/URL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ssetsTable" displayName="AssetsTable" ref="A5:J25" headerRowCount="1">
  <x:autoFilter ref="A5:J25"/>
  <x:tableColumns count="10">
    <x:tableColumn id="1" name="Asset"/>
    <x:tableColumn id="2" name="Priority"/>
    <x:tableColumn id="3" name="Current State"/>
    <x:tableColumn id="4" name="Next Action"/>
    <x:tableColumn id="5" name="Owner"/>
    <x:tableColumn id="6" name="Status"/>
    <x:tableColumn id="7" name="Completion %"/>
    <x:tableColumn id="8" name="Due"/>
    <x:tableColumn id="9" name="Definition of Done"/>
    <x:tableColumn id="10" name="Link"/>
  </x:tableColumns>
  <x:tableStyleInfo name="TableStyleMedium2" showRowStripes="1"/>
</x:table>
</file>

<file path=xl/tables/table4.xml><?xml version="1.0" encoding="utf-8"?>
<x:table xmlns:x="http://schemas.openxmlformats.org/spreadsheetml/2006/main" id="4" name="StudyTable" displayName="StudyTable" ref="A5:I45" headerRowCount="1">
  <x:autoFilter ref="A5:I45"/>
  <x:tableColumns count="9">
    <x:tableColumn id="1" name="Week"/>
    <x:tableColumn id="2" name="Topic"/>
    <x:tableColumn id="3" name="Why"/>
    <x:tableColumn id="4" name="Action"/>
    <x:tableColumn id="5" name="Output"/>
    <x:tableColumn id="6" name="Linked Asset"/>
    <x:tableColumn id="7" name="Status"/>
    <x:tableColumn id="8" name="Hours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OffersTable" displayName="OffersTable" ref="A5:N25" headerRowCount="1">
  <x:autoFilter ref="A5:N25"/>
  <x:tableColumns count="14">
    <x:tableColumn id="1" name="Company"/>
    <x:tableColumn id="2" name="Role"/>
    <x:tableColumn id="3" name="Monthly Gross"/>
    <x:tableColumn id="4" name="Currency"/>
    <x:tableColumn id="5" name="Fit Unity/TA"/>
    <x:tableColumn id="6" name="Learning"/>
    <x:tableColumn id="7" name="Compensation"/>
    <x:tableColumn id="8" name="Contract Clarity"/>
    <x:tableColumn id="9" name="Remote Fit"/>
    <x:tableColumn id="10" name="Sustainability"/>
    <x:tableColumn id="11" name="Portfolio Value"/>
    <x:tableColumn id="12" name="Average"/>
    <x:tableColumn id="13" name="Decision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b10faf6ade44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6c7901b61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a66ba639e94c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ef46d2e671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19859b31ca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7a554e7ecc47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75" hidden="0" customWidth="1"/>
    <x:col min="3" max="3" width="16.25" hidden="0" customWidth="1"/>
    <x:col min="4" max="4" width="38.75" hidden="0" customWidth="1"/>
    <x:col min="5" max="5" width="14.380000114440918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7.5" hidden="0" customWidth="1"/>
    <x:col min="12" max="12" width="17.5" hidden="0" customWidth="1"/>
  </x:cols>
  <x:sheetData>
    <x:row r="1">
      <x:c r="A1" s="3" t="str">
        <x:v>Plan de Estrategia Laboral - Dashboard</x:v>
      </x:c>
      <x:c r="B1" s="3" t="str">
        <x:v>Plan de Estrategia Laboral - Dashboard</x:v>
      </x:c>
      <x:c r="C1" s="3" t="str">
        <x:v>Plan de Estrategia Laboral - Dashboard</x:v>
      </x:c>
      <x:c r="D1" s="3" t="str">
        <x:v>Plan de Estrategia Laboral - Dashboard</x:v>
      </x:c>
      <x:c r="E1" s="3" t="str">
        <x:v>Plan de Estrategia Laboral - Dashboard</x:v>
      </x:c>
      <x:c r="F1" s="3" t="str">
        <x:v>Plan de Estrategia Laboral - Dashboard</x:v>
      </x:c>
      <x:c r="G1" s="3" t="str">
        <x:v>Plan de Estrategia Laboral - Dashboard</x:v>
      </x:c>
      <x:c r="H1" s="3" t="str">
        <x:v>Plan de Estrategia Laboral - Dashboard</x:v>
      </x:c>
      <x:c r="I1" s="3" t="str">
        <x:v>Plan de Estrategia Laboral - Dashboard</x:v>
      </x:c>
      <x:c r="J1" s="3" t="str">
        <x:v>Plan de Estrategia Laboral - Dashboard</x:v>
      </x:c>
      <x:c r="K1" s="3" t="str">
        <x:v>Plan de Estrategia Laboral - Dashboard</x:v>
      </x:c>
      <x:c r="L1" s="3" t="str">
        <x:v>Plan de Estrategia Laboral - Dashboard</x:v>
      </x:c>
    </x:row>
    <x:row r="2">
      <x:c r="A2" s="6" t="str">
        <x:v>Actualizar tracker semanalmente. El PDF define la estrategia; este workbook mide ejecucion.</x:v>
      </x:c>
      <x:c r="B2" s="6" t="str">
        <x:v>Actualizar tracker semanalmente. El PDF define la estrategia; este workbook mide ejecucion.</x:v>
      </x:c>
      <x:c r="C2" s="6" t="str">
        <x:v>Actualizar tracker semanalmente. El PDF define la estrategia; este workbook mide ejecucion.</x:v>
      </x:c>
      <x:c r="D2" s="6" t="str">
        <x:v>Actualizar tracker semanalmente. El PDF define la estrategia; este workbook mide ejecucion.</x:v>
      </x:c>
      <x:c r="E2" s="6" t="str">
        <x:v>Actualizar tracker semanalmente. El PDF define la estrategia; este workbook mide ejecucion.</x:v>
      </x:c>
      <x:c r="F2" s="6" t="str">
        <x:v>Actualizar tracker semanalmente. El PDF define la estrategia; este workbook mide ejecucion.</x:v>
      </x:c>
      <x:c r="G2" s="6" t="str">
        <x:v>Actualizar tracker semanalmente. El PDF define la estrategia; este workbook mide ejecucion.</x:v>
      </x:c>
      <x:c r="H2" s="6" t="str">
        <x:v>Actualizar tracker semanalmente. El PDF define la estrategia; este workbook mide ejecucion.</x:v>
      </x:c>
      <x:c r="I2" s="6" t="str">
        <x:v>Actualizar tracker semanalmente. El PDF define la estrategia; este workbook mide ejecucion.</x:v>
      </x:c>
      <x:c r="J2" s="6" t="str">
        <x:v>Actualizar tracker semanalmente. El PDF define la estrategia; este workbook mide ejecucion.</x:v>
      </x:c>
      <x:c r="K2" s="6" t="str">
        <x:v>Actualizar tracker semanalmente. El PDF define la estrategia; este workbook mide ejecucion.</x:v>
      </x:c>
      <x:c r="L2" s="6" t="str">
        <x:v>Actualizar tracker semanalmente. El PDF define la estrategia; este workbook mide ejecucion.</x:v>
      </x:c>
    </x:row>
    <x:row r="4">
      <x:c r="A4" s="9" t="str">
        <x:v>KPI</x:v>
      </x:c>
      <x:c r="B4" s="9" t="str">
        <x:v>Valor</x:v>
      </x:c>
      <x:c r="C4" s="9" t="str">
        <x:v>Objetivo</x:v>
      </x:c>
      <x:c r="D4" s="9" t="str">
        <x:v>Lectura</x:v>
      </x:c>
    </x:row>
    <x:row r="5">
      <x:c r="A5" s="13" t="str">
        <x:v>Semanas Done</x:v>
      </x:c>
      <x:c r="B5" s="14" t="n">
        <x:f>COUNTIF('Weekly Plan'!$J$6:$J$21,"Done")</x:f>
        <x:v>0</x:v>
      </x:c>
      <x:c r="C5" s="13" t="str">
        <x:v>16</x:v>
      </x:c>
      <x:c r="D5" s="13" t="str">
        <x:v>Avance del roadmap</x:v>
      </x:c>
    </x:row>
    <x:row r="6">
      <x:c r="A6" s="13" t="str">
        <x:v>Activos Done</x:v>
      </x:c>
      <x:c r="B6" s="14" t="n">
        <x:f>COUNTIF(Assets!$F$6:$F$25,"Done")</x:f>
        <x:v>0</x:v>
      </x:c>
      <x:c r="C6" s="13" t="str">
        <x:v>8</x:v>
      </x:c>
      <x:c r="D6" s="13" t="str">
        <x:v>Portfolio/GitHub/CV/etc.</x:v>
      </x:c>
    </x:row>
    <x:row r="7">
      <x:c r="A7" s="13" t="str">
        <x:v>Aplicaciones enviadas</x:v>
      </x:c>
      <x:c r="B7" s="14" t="n">
        <x:f>COUNTIF(Applications!$N$6:$N$125,"Applied")+COUNTIF(Applications!$N$6:$N$125,"Contacted")+COUNTIF(Applications!$N$6:$N$125,"Interview")+COUNTIF(Applications!$N$6:$N$125,"Test")+COUNTIF(Applications!$N$6:$N$125,"Offer")+COUNTIF(Applications!$N$6:$N$125,"Rejected")</x:f>
        <x:v>0</x:v>
      </x:c>
      <x:c r="C7" s="13" t="str">
        <x:v>40</x:v>
      </x:c>
      <x:c r="D7" s="13" t="str">
        <x:v>Volumen acumulado bueno</x:v>
      </x:c>
    </x:row>
    <x:row r="8">
      <x:c r="A8" s="13" t="str">
        <x:v>Conversaciones afines</x:v>
      </x:c>
      <x:c r="B8" s="14" t="n">
        <x:f>COUNTIF(Applications!$N$6:$N$125,"Contacted")+COUNTIF(Applications!$N$6:$N$125,"Interview")+COUNTIF(Applications!$N$6:$N$125,"Test")+COUNTIF(Applications!$N$6:$N$125,"Offer")</x:f>
        <x:v>0</x:v>
      </x:c>
      <x:c r="C8" s="13" t="str">
        <x:v>4</x:v>
      </x:c>
      <x:c r="D8" s="13" t="str">
        <x:v>Contacted+Interview+Test+Offer</x:v>
      </x:c>
    </x:row>
    <x:row r="9">
      <x:c r="A9" s="13" t="str">
        <x:v>Entrevistas</x:v>
      </x:c>
      <x:c r="B9" s="14" t="n">
        <x:f>COUNTIF(Applications!$N$6:$N$125,"Interview")+COUNTIF(Applications!$N$6:$N$125,"Test")+COUNTIF(Applications!$N$6:$N$125,"Offer")</x:f>
        <x:v>0</x:v>
      </x:c>
      <x:c r="C9" s="13" t="str">
        <x:v>2</x:v>
      </x:c>
      <x:c r="D9" s="13" t="str">
        <x:v>Senal de conversion</x:v>
      </x:c>
    </x:row>
    <x:row r="10">
      <x:c r="A10" s="13" t="str">
        <x:v>Ofertas</x:v>
      </x:c>
      <x:c r="B10" s="14" t="n">
        <x:f>COUNTIF(Applications!$N$6:$N$125,"Offer")</x:f>
        <x:v>0</x:v>
      </x:c>
      <x:c r="C10" s="13" t="str">
        <x:v>1</x:v>
      </x:c>
      <x:c r="D10" s="13" t="str">
        <x:v>Resultado</x:v>
      </x:c>
    </x:row>
    <x:row r="11">
      <x:c r="A11" s="13" t="str">
        <x:v>Study outputs Done</x:v>
      </x:c>
      <x:c r="B11" s="14" t="n">
        <x:f>COUNTIF(Study!$G$6:$G$45,"Done")</x:f>
        <x:v>0</x:v>
      </x:c>
      <x:c r="C11" s="13" t="str">
        <x:v>12</x:v>
      </x:c>
      <x:c r="D11" s="13" t="str">
        <x:v>Estudio con evidencia</x:v>
      </x:c>
    </x:row>
    <x:row r="12">
      <x:c r="A12" s="13" t="str">
        <x:v>Fit promedio aplicaciones</x:v>
      </x:c>
      <x:c r="B12" s="15" t="n">
        <x:f>IFERROR(AVERAGEIF(Applications!$M$6:$M$125,"&gt;0",Applications!$M$6:$M$125),0)</x:f>
        <x:v>11.333333333333334</x:v>
      </x:c>
      <x:c r="C12" s="13" t="str">
        <x:v>&gt;=10</x:v>
      </x:c>
      <x:c r="D12" s="13" t="str">
        <x:v>Calidad de targeting</x:v>
      </x:c>
    </x:row>
    <x:row r="13">
      <x:c r="A13" s="13" t="str">
        <x:v>Ofertas aceptables</x:v>
      </x:c>
      <x:c r="B13" s="14" t="n">
        <x:f>COUNTIF(Offers!$M$6:$M$25,"Accept")+COUNTIF(Offers!$M$6:$M$25,"Negotiate")</x:f>
        <x:v>0</x:v>
      </x:c>
      <x:c r="C13" s="13" t="str">
        <x:v>1</x:v>
      </x:c>
      <x:c r="D13" s="13" t="str">
        <x:v>Score &gt;=3.5 y fit &gt;=4</x:v>
      </x:c>
    </x:row>
    <x:row r="14">
      <x:c r="A14" s="13" t="str">
        <x:v>Bloqueos activos</x:v>
      </x:c>
      <x:c r="B14" s="14" t="n">
        <x:f>COUNTIF('Weekly Plan'!$J$6:$J$21,"Blocked")+COUNTIF(Assets!$F$6:$F$25,"Blocked")</x:f>
        <x:v>0</x:v>
      </x:c>
      <x:c r="C14" s="13" t="str">
        <x:v>0</x:v>
      </x:c>
      <x:c r="D14" s="13" t="str">
        <x:v>Blocked en Weekly/Assets</x:v>
      </x:c>
    </x:row>
    <x:row r="15">
      <x:c r="A15" s="13" t="str">
        <x:v>Proxima accion</x:v>
      </x:c>
      <x:c r="B15" s="13" t="str">
        <x:f>IFERROR(IF(INDEX('Weekly Plan'!$M$6:$M$21,MATCH("In Progress",'Weekly Plan'!$J$6:$J$21,0))="","Set next action in Weekly Plan",INDEX('Weekly Plan'!$M$6:$M$21,MATCH("In Progress",'Weekly Plan'!$J$6:$J$21,0))),"Review Weekly Plan")</x:f>
        <x:v>Set next action in Weekly Plan</x:v>
      </x:c>
      <x:c r="C15" s="13" t="str">
        <x:v>Viernes</x:v>
      </x:c>
      <x:c r="D15" s="13" t="str">
        <x:v>Se revisa semanalmente</x:v>
      </x:c>
    </x:row>
    <x:row r="18">
      <x:c r="A18" s="9" t="str">
        <x:v>Application Status</x:v>
      </x:c>
      <x:c r="B18" s="9" t="str">
        <x:v>Applications</x:v>
      </x:c>
      <x:c r="D18" s="9" t="str">
        <x:v>Roadmap Status</x:v>
      </x:c>
      <x:c r="E18" s="9" t="str">
        <x:v>Weekly Plan</x:v>
      </x:c>
    </x:row>
    <x:row r="19">
      <x:c r="A19" s="13" t="str">
        <x:v>Saved</x:v>
      </x:c>
      <x:c r="B19" s="13" t="n">
        <x:f>COUNTIF(Applications!$N$6:$N$125,"Saved")</x:f>
        <x:v>3</x:v>
      </x:c>
      <x:c r="D19" s="13" t="str">
        <x:v>Not Started</x:v>
      </x:c>
      <x:c r="E19" s="13" t="n">
        <x:f>COUNTIF('Weekly Plan'!$J$6:$J$21,"Not Started")</x:f>
        <x:v>15</x:v>
      </x:c>
    </x:row>
    <x:row r="20">
      <x:c r="A20" s="13" t="str">
        <x:v>Applied</x:v>
      </x:c>
      <x:c r="B20" s="13" t="n">
        <x:f>COUNTIF(Applications!$N$6:$N$125,"Applied")</x:f>
        <x:v>0</x:v>
      </x:c>
      <x:c r="D20" s="13" t="str">
        <x:v>In Progress</x:v>
      </x:c>
      <x:c r="E20" s="13" t="n">
        <x:f>COUNTIF('Weekly Plan'!$J$6:$J$21,"In Progress")</x:f>
        <x:v>1</x:v>
      </x:c>
    </x:row>
    <x:row r="21">
      <x:c r="A21" s="13" t="str">
        <x:v>Contacted</x:v>
      </x:c>
      <x:c r="B21" s="13" t="n">
        <x:f>COUNTIF(Applications!$N$6:$N$125,"Contacted")</x:f>
        <x:v>0</x:v>
      </x:c>
      <x:c r="D21" s="13" t="str">
        <x:v>Blocked</x:v>
      </x:c>
      <x:c r="E21" s="13" t="n">
        <x:f>COUNTIF('Weekly Plan'!$J$6:$J$21,"Blocked")</x:f>
        <x:v>0</x:v>
      </x:c>
    </x:row>
    <x:row r="22">
      <x:c r="A22" s="13" t="str">
        <x:v>Interview</x:v>
      </x:c>
      <x:c r="B22" s="13" t="n">
        <x:f>COUNTIF(Applications!$N$6:$N$125,"Interview")</x:f>
        <x:v>0</x:v>
      </x:c>
      <x:c r="D22" s="13" t="str">
        <x:v>Done</x:v>
      </x:c>
      <x:c r="E22" s="13" t="n">
        <x:f>COUNTIF('Weekly Plan'!$J$6:$J$21,"Done")</x:f>
        <x:v>0</x:v>
      </x:c>
    </x:row>
    <x:row r="23">
      <x:c r="A23" s="13" t="str">
        <x:v>Test</x:v>
      </x:c>
      <x:c r="B23" s="13" t="n">
        <x:f>COUNTIF(Applications!$N$6:$N$125,"Test")</x:f>
        <x:v>0</x:v>
      </x:c>
      <x:c r="D23" s="13" t="str">
        <x:v>Paused</x:v>
      </x:c>
      <x:c r="E23" s="13" t="n">
        <x:f>COUNTIF('Weekly Plan'!$J$6:$J$21,"Paused")</x:f>
        <x:v>0</x:v>
      </x:c>
    </x:row>
    <x:row r="24">
      <x:c r="A24" s="13" t="str">
        <x:v>Offer</x:v>
      </x:c>
      <x:c r="B24" s="13" t="n">
        <x:f>COUNTIF(Applications!$N$6:$N$125,"Offer")</x:f>
        <x:v>0</x:v>
      </x:c>
    </x:row>
    <x:row r="25">
      <x:c r="A25" s="13" t="str">
        <x:v>Rejected</x:v>
      </x:c>
      <x:c r="B25" s="13" t="n">
        <x:f>COUNTIF(Applications!$N$6:$N$125,"Rejected")</x:f>
        <x:v>0</x:v>
      </x:c>
    </x:row>
    <x:row r="26">
      <x:c r="A26" s="13" t="str">
        <x:v>No Fit</x:v>
      </x:c>
      <x:c r="B26" s="13" t="n">
        <x:f>COUNTIF(Applications!$N$6:$N$125,"No Fit")</x:f>
        <x:v>0</x:v>
      </x:c>
    </x:row>
    <x:row r="27">
      <x:c r="A27" s="13" t="str">
        <x:v>Paused</x:v>
      </x:c>
      <x:c r="B27" s="13" t="n">
        <x:f>COUNTIF(Applications!$N$6:$N$125,"Paused")</x:f>
        <x:v>0</x:v>
      </x:c>
    </x:row>
    <x:row r="30">
      <x:c r="A30" s="17" t="str">
        <x:v>Reglas</x:v>
      </x:c>
      <x:c r="B30" s="17" t="str"/>
      <x:c r="C30" s="17" t="str"/>
      <x:c r="D30" s="17" t="str"/>
    </x:row>
    <x:row r="31">
      <x:c r="A31" s="13" t="str">
        <x:v>Piso</x:v>
      </x:c>
      <x:c r="B31" s="13" t="str">
        <x:v>3 millones COP solo si da experiencia real en campo</x:v>
      </x:c>
      <x:c r="C31" s="13" t="str">
        <x:v>Ideal</x:v>
      </x:c>
      <x:c r="D31" s="13" t="str">
        <x:v>USD 2000</x:v>
      </x:c>
    </x:row>
    <x:row r="32">
      <x:c r="A32" s="13" t="str">
        <x:v>Ambicioso</x:v>
      </x:c>
      <x:c r="B32" s="13" t="str">
        <x:v>USD 6000</x:v>
      </x:c>
      <x:c r="C32" s="13" t="str">
        <x:v>Foco</x:v>
      </x:c>
      <x:c r="D32" s="13" t="str">
        <x:v>Unity Technical Artist</x:v>
      </x:c>
    </x:row>
    <x:row r="33">
      <x:c r="A33" s="13" t="str">
        <x:v>Evitar</x:v>
      </x:c>
      <x:c r="B33" s="13" t="str">
        <x:v>Marketing puro sin 3D/Unity/realtime</x:v>
      </x:c>
      <x:c r="C33" s="13" t="str">
        <x:v>Disponibilidad</x:v>
      </x:c>
      <x:c r="D33" s="13" t="str">
        <x:v>25h/semana</x:v>
      </x:c>
    </x:row>
  </x:sheetData>
  <x:mergeCells>
    <x:mergeCell ref="A1:L1"/>
    <x:mergeCell ref="A2:L2"/>
    <x:mergeCell ref="A30:D30"/>
  </x:mergeCells>
  <x:pageMargins left="0.7" right="0.7" top="0.75" bottom="0.75" header="0.3" footer="0.3"/>
  <x:drawing xmlns:r="http://schemas.openxmlformats.org/officeDocument/2006/relationships" r:id="R69b10faf6ade44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1.880000114440918" hidden="0" customWidth="1"/>
    <x:col min="3" max="3" width="13.75" hidden="0" customWidth="1"/>
    <x:col min="4" max="4" width="27.5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5" hidden="0" customWidth="1"/>
    <x:col min="11" max="11" width="11.880000114440918" hidden="0" customWidth="1"/>
    <x:col min="12" max="12" width="21.25" hidden="0" customWidth="1"/>
    <x:col min="13" max="13" width="27.5" hidden="0" customWidth="1"/>
  </x:cols>
  <x:sheetData>
    <x:row r="1">
      <x:c r="A1" s="3" t="str">
        <x:v>16-Week Roadmap</x:v>
      </x:c>
      <x:c r="B1" s="3" t="str">
        <x:v>16-Week Roadmap</x:v>
      </x:c>
      <x:c r="C1" s="3" t="str">
        <x:v>16-Week Roadmap</x:v>
      </x:c>
      <x:c r="D1" s="3" t="str">
        <x:v>16-Week Roadmap</x:v>
      </x:c>
      <x:c r="E1" s="3" t="str">
        <x:v>16-Week Roadmap</x:v>
      </x:c>
      <x:c r="F1" s="3" t="str">
        <x:v>16-Week Roadmap</x:v>
      </x:c>
      <x:c r="G1" s="3" t="str">
        <x:v>16-Week Roadmap</x:v>
      </x:c>
      <x:c r="H1" s="3" t="str">
        <x:v>16-Week Roadmap</x:v>
      </x:c>
      <x:c r="I1" s="3" t="str">
        <x:v>16-Week Roadmap</x:v>
      </x:c>
      <x:c r="J1" s="3" t="str">
        <x:v>16-Week Roadmap</x:v>
      </x:c>
    </x:row>
    <x:row r="2">
      <x:c r="A2" s="6" t="str">
        <x:v>Cada viernes actualizar status, blocker y next action.</x:v>
      </x:c>
      <x:c r="B2" s="6" t="str">
        <x:v>Cada viernes actualizar status, blocker y next action.</x:v>
      </x:c>
      <x:c r="C2" s="6" t="str">
        <x:v>Cada viernes actualizar status, blocker y next action.</x:v>
      </x:c>
      <x:c r="D2" s="6" t="str">
        <x:v>Cada viernes actualizar status, blocker y next action.</x:v>
      </x:c>
      <x:c r="E2" s="6" t="str">
        <x:v>Cada viernes actualizar status, blocker y next action.</x:v>
      </x:c>
      <x:c r="F2" s="6" t="str">
        <x:v>Cada viernes actualizar status, blocker y next action.</x:v>
      </x:c>
      <x:c r="G2" s="6" t="str">
        <x:v>Cada viernes actualizar status, blocker y next action.</x:v>
      </x:c>
      <x:c r="H2" s="6" t="str">
        <x:v>Cada viernes actualizar status, blocker y next action.</x:v>
      </x:c>
      <x:c r="I2" s="6" t="str">
        <x:v>Cada viernes actualizar status, blocker y next action.</x:v>
      </x:c>
      <x:c r="J2" s="6" t="str">
        <x:v>Cada viernes actualizar status, blocker y next action.</x:v>
      </x:c>
    </x:row>
    <x:row r="5">
      <x:c r="A5" s="9" t="str">
        <x:v>Week</x:v>
      </x:c>
      <x:c r="B5" s="9" t="str">
        <x:v>Start</x:v>
      </x:c>
      <x:c r="C5" s="9" t="str">
        <x:v>Phase</x:v>
      </x:c>
      <x:c r="D5" s="9" t="str">
        <x:v>Primary Goal</x:v>
      </x:c>
      <x:c r="E5" s="9" t="str">
        <x:v>Mon</x:v>
      </x:c>
      <x:c r="F5" s="9" t="str">
        <x:v>Tue</x:v>
      </x:c>
      <x:c r="G5" s="9" t="str">
        <x:v>Wed</x:v>
      </x:c>
      <x:c r="H5" s="9" t="str">
        <x:v>Thu</x:v>
      </x:c>
      <x:c r="I5" s="9" t="str">
        <x:v>Fri</x:v>
      </x:c>
      <x:c r="J5" s="9" t="str">
        <x:v>Status</x:v>
      </x:c>
      <x:c r="K5" s="9" t="str">
        <x:v>Completion %</x:v>
      </x:c>
      <x:c r="L5" s="9" t="str">
        <x:v>Blocker</x:v>
      </x:c>
      <x:c r="M5" s="9" t="str">
        <x:v>Next Action</x:v>
      </x:c>
    </x:row>
    <x:row r="6">
      <x:c r="A6" s="13" t="n">
        <x:v>1</x:v>
      </x:c>
      <x:c r="B6" s="18" t="n">
        <x:v>46188</x:v>
      </x:c>
      <x:c r="C6" s="13" t="str">
        <x:v>Focus</x:v>
      </x:c>
      <x:c r="D6" s="13" t="str">
        <x:v>Congelar narrativa y estructura</x:v>
      </x:c>
      <x:c r="E6" s="13" t="str">
        <x:v>Narrative</x:v>
      </x:c>
      <x:c r="F6" s="13" t="str">
        <x:v>Asset audit</x:v>
      </x:c>
      <x:c r="G6" s="13" t="str">
        <x:v>Targets seed</x:v>
      </x:c>
      <x:c r="H6" s="13" t="str">
        <x:v>Study blocker</x:v>
      </x:c>
      <x:c r="I6" s="13" t="str">
        <x:v>Review</x:v>
      </x:c>
      <x:c r="J6" s="13" t="str">
        <x:v>In Progress</x:v>
      </x:c>
      <x:c r="K6" s="19" t="n">
        <x:v>0</x:v>
      </x:c>
      <x:c r="L6" s="13" t="str"/>
      <x:c r="M6" s="13" t="str"/>
    </x:row>
    <x:row r="7">
      <x:c r="A7" s="13" t="n">
        <x:v>2</x:v>
      </x:c>
      <x:c r="B7" s="18" t="n">
        <x:v>46195</x:v>
      </x:c>
      <x:c r="C7" s="13" t="str">
        <x:v>Portfolio</x:v>
      </x:c>
      <x:c r="D7" s="13" t="str">
        <x:v>Homepage + TwinSight skeleton</x:v>
      </x:c>
      <x:c r="E7" s="13" t="str">
        <x:v>Hero</x:v>
      </x:c>
      <x:c r="F7" s="13" t="str">
        <x:v>Case sections</x:v>
      </x:c>
      <x:c r="G7" s="13" t="str">
        <x:v>Targets</x:v>
      </x:c>
      <x:c r="H7" s="13" t="str">
        <x:v>Visual</x:v>
      </x:c>
      <x:c r="I7" s="13" t="str">
        <x:v>QA</x:v>
      </x:c>
      <x:c r="J7" s="13" t="str">
        <x:v>Not Started</x:v>
      </x:c>
      <x:c r="K7" s="19" t="n">
        <x:v>0</x:v>
      </x:c>
      <x:c r="L7" s="13" t="str"/>
      <x:c r="M7" s="13" t="str"/>
    </x:row>
    <x:row r="8">
      <x:c r="A8" s="13" t="n">
        <x:v>3</x:v>
      </x:c>
      <x:c r="B8" s="18" t="n">
        <x:v>46202</x:v>
      </x:c>
      <x:c r="C8" s="13" t="str">
        <x:v>TwinSight</x:v>
      </x:c>
      <x:c r="D8" s="13" t="str">
        <x:v>Completar case study</x:v>
      </x:c>
      <x:c r="E8" s="13" t="str">
        <x:v>Problem/solution</x:v>
      </x:c>
      <x:c r="F8" s="13" t="str">
        <x:v>Pipeline</x:v>
      </x:c>
      <x:c r="G8" s="13" t="str">
        <x:v>Roles</x:v>
      </x:c>
      <x:c r="H8" s="13" t="str">
        <x:v>Media</x:v>
      </x:c>
      <x:c r="I8" s="13" t="str">
        <x:v>Claims</x:v>
      </x:c>
      <x:c r="J8" s="13" t="str">
        <x:v>Not Started</x:v>
      </x:c>
      <x:c r="K8" s="19" t="n">
        <x:v>0</x:v>
      </x:c>
      <x:c r="L8" s="13" t="str"/>
      <x:c r="M8" s="13" t="str"/>
    </x:row>
    <x:row r="9">
      <x:c r="A9" s="13" t="n">
        <x:v>4</x:v>
      </x:c>
      <x:c r="B9" s="18" t="n">
        <x:v>46209</x:v>
      </x:c>
      <x:c r="C9" s="13" t="str">
        <x:v>Demo</x:v>
      </x:c>
      <x:c r="D9" s="13" t="str">
        <x:v>Demo 90s + teaser</x:v>
      </x:c>
      <x:c r="E9" s="13" t="str">
        <x:v>Script</x:v>
      </x:c>
      <x:c r="F9" s="13" t="str">
        <x:v>Record</x:v>
      </x:c>
      <x:c r="G9" s="13" t="str">
        <x:v>Soft feedback</x:v>
      </x:c>
      <x:c r="H9" s="13" t="str">
        <x:v>Edit</x:v>
      </x:c>
      <x:c r="I9" s="13" t="str">
        <x:v>Publish</x:v>
      </x:c>
      <x:c r="J9" s="13" t="str">
        <x:v>Not Started</x:v>
      </x:c>
      <x:c r="K9" s="19" t="n">
        <x:v>0</x:v>
      </x:c>
      <x:c r="L9" s="13" t="str"/>
      <x:c r="M9" s="13" t="str"/>
    </x:row>
    <x:row r="10">
      <x:c r="A10" s="13" t="n">
        <x:v>5</x:v>
      </x:c>
      <x:c r="B10" s="18" t="n">
        <x:v>46216</x:v>
      </x:c>
      <x:c r="C10" s="13" t="str">
        <x:v>GitHub</x:v>
      </x:c>
      <x:c r="D10" s="13" t="str">
        <x:v>README and repo cleanup</x:v>
      </x:c>
      <x:c r="E10" s="13" t="str">
        <x:v>Overview</x:v>
      </x:c>
      <x:c r="F10" s="13" t="str">
        <x:v>Features</x:v>
      </x:c>
      <x:c r="G10" s="13" t="str">
        <x:v>Hygiene</x:v>
      </x:c>
      <x:c r="H10" s="13" t="str">
        <x:v>C# note</x:v>
      </x:c>
      <x:c r="I10" s="13" t="str">
        <x:v>Pins</x:v>
      </x:c>
      <x:c r="J10" s="13" t="str">
        <x:v>Not Started</x:v>
      </x:c>
      <x:c r="K10" s="19" t="n">
        <x:v>0</x:v>
      </x:c>
      <x:c r="L10" s="13" t="str"/>
      <x:c r="M10" s="13" t="str"/>
    </x:row>
    <x:row r="11">
      <x:c r="A11" s="13" t="n">
        <x:v>6</x:v>
      </x:c>
      <x:c r="B11" s="18" t="n">
        <x:v>46223</x:v>
      </x:c>
      <x:c r="C11" s="13" t="str">
        <x:v>Public profiles</x:v>
      </x:c>
      <x:c r="D11" s="13" t="str">
        <x:v>CV + LinkedIn</x:v>
      </x:c>
      <x:c r="E11" s="13" t="str">
        <x:v>CV</x:v>
      </x:c>
      <x:c r="F11" s="13" t="str">
        <x:v>LinkedIn</x:v>
      </x:c>
      <x:c r="G11" s="13" t="str">
        <x:v>3 apps</x:v>
      </x:c>
      <x:c r="H11" s="13" t="str">
        <x:v>Pitch</x:v>
      </x:c>
      <x:c r="I11" s="13" t="str">
        <x:v>Links</x:v>
      </x:c>
      <x:c r="J11" s="13" t="str">
        <x:v>Not Started</x:v>
      </x:c>
      <x:c r="K11" s="19" t="n">
        <x:v>0</x:v>
      </x:c>
      <x:c r="L11" s="13" t="str"/>
      <x:c r="M11" s="13" t="str"/>
    </x:row>
    <x:row r="12">
      <x:c r="A12" s="13" t="n">
        <x:v>7</x:v>
      </x:c>
      <x:c r="B12" s="18" t="n">
        <x:v>46230</x:v>
      </x:c>
      <x:c r="C12" s="13" t="str">
        <x:v>ArtStation</x:v>
      </x:c>
      <x:c r="D12" s="13" t="str">
        <x:v>Human renders + breakdown</x:v>
      </x:c>
      <x:c r="E12" s="13" t="str">
        <x:v>Renders</x:v>
      </x:c>
      <x:c r="F12" s="13" t="str">
        <x:v>Breakdown</x:v>
      </x:c>
      <x:c r="G12" s="13" t="str">
        <x:v>A1 list</x:v>
      </x:c>
      <x:c r="H12" s="13" t="str">
        <x:v>Visual polish</x:v>
      </x:c>
      <x:c r="I12" s="13" t="str">
        <x:v>Publish</x:v>
      </x:c>
      <x:c r="J12" s="13" t="str">
        <x:v>Not Started</x:v>
      </x:c>
      <x:c r="K12" s="19" t="n">
        <x:v>0</x:v>
      </x:c>
      <x:c r="L12" s="13" t="str"/>
      <x:c r="M12" s="13" t="str"/>
    </x:row>
    <x:row r="13">
      <x:c r="A13" s="13" t="n">
        <x:v>8</x:v>
      </x:c>
      <x:c r="B13" s="18" t="n">
        <x:v>46237</x:v>
      </x:c>
      <x:c r="C13" s="13" t="str">
        <x:v>Soft launch</x:v>
      </x:c>
      <x:c r="D13" s="13" t="str">
        <x:v>8-12 A1 targets</x:v>
      </x:c>
      <x:c r="E13" s="13" t="str">
        <x:v>Prep</x:v>
      </x:c>
      <x:c r="F13" s="13" t="str">
        <x:v>Apply</x:v>
      </x:c>
      <x:c r="G13" s="13" t="str">
        <x:v>Outreach</x:v>
      </x:c>
      <x:c r="H13" s="13" t="str">
        <x:v>Fix blocker</x:v>
      </x:c>
      <x:c r="I13" s="13" t="str">
        <x:v>Review</x:v>
      </x:c>
      <x:c r="J13" s="13" t="str">
        <x:v>Not Started</x:v>
      </x:c>
      <x:c r="K13" s="19" t="n">
        <x:v>0</x:v>
      </x:c>
      <x:c r="L13" s="13" t="str"/>
      <x:c r="M13" s="13" t="str"/>
    </x:row>
    <x:row r="14">
      <x:c r="A14" s="13" t="n">
        <x:v>9</x:v>
      </x:c>
      <x:c r="B14" s="18" t="n">
        <x:v>46244</x:v>
      </x:c>
      <x:c r="C14" s="13" t="str">
        <x:v>Iteration</x:v>
      </x:c>
      <x:c r="D14" s="13" t="str">
        <x:v>Improve conversion</x:v>
      </x:c>
      <x:c r="E14" s="13" t="str">
        <x:v>Adjust</x:v>
      </x:c>
      <x:c r="F14" s="13" t="str">
        <x:v>Apply</x:v>
      </x:c>
      <x:c r="G14" s="13" t="str">
        <x:v>Follow-up</x:v>
      </x:c>
      <x:c r="H14" s="13" t="str">
        <x:v>Interview prep</x:v>
      </x:c>
      <x:c r="I14" s="13" t="str">
        <x:v>Targeting</x:v>
      </x:c>
      <x:c r="J14" s="13" t="str">
        <x:v>Not Started</x:v>
      </x:c>
      <x:c r="K14" s="19" t="n">
        <x:v>0</x:v>
      </x:c>
      <x:c r="L14" s="13" t="str"/>
      <x:c r="M14" s="13" t="str"/>
    </x:row>
    <x:row r="15">
      <x:c r="A15" s="13" t="n">
        <x:v>10</x:v>
      </x:c>
      <x:c r="B15" s="18" t="n">
        <x:v>46251</x:v>
      </x:c>
      <x:c r="C15" s="13" t="str">
        <x:v>Main wave</x:v>
      </x:c>
      <x:c r="D15" s="13" t="str">
        <x:v>10-15 roles</x:v>
      </x:c>
      <x:c r="E15" s="13" t="str">
        <x:v>Setup</x:v>
      </x:c>
      <x:c r="F15" s="13" t="str">
        <x:v>Apply</x:v>
      </x:c>
      <x:c r="G15" s="13" t="str">
        <x:v>Outreach</x:v>
      </x:c>
      <x:c r="H15" s="13" t="str">
        <x:v>Study</x:v>
      </x:c>
      <x:c r="I15" s="13" t="str">
        <x:v>Conversion</x:v>
      </x:c>
      <x:c r="J15" s="13" t="str">
        <x:v>Not Started</x:v>
      </x:c>
      <x:c r="K15" s="19" t="n">
        <x:v>0</x:v>
      </x:c>
      <x:c r="L15" s="13" t="str"/>
      <x:c r="M15" s="13" t="str"/>
    </x:row>
    <x:row r="16">
      <x:c r="A16" s="13" t="n">
        <x:v>11</x:v>
      </x:c>
      <x:c r="B16" s="18" t="n">
        <x:v>46258</x:v>
      </x:c>
      <x:c r="C16" s="13" t="str">
        <x:v>Interviews</x:v>
      </x:c>
      <x:c r="D16" s="13" t="str">
        <x:v>Defense readiness</x:v>
      </x:c>
      <x:c r="E16" s="13" t="str">
        <x:v>Walkthrough</x:v>
      </x:c>
      <x:c r="F16" s="13" t="str">
        <x:v>Legal/salary</x:v>
      </x:c>
      <x:c r="G16" s="13" t="str">
        <x:v>Apply</x:v>
      </x:c>
      <x:c r="H16" s="13" t="str">
        <x:v>Test prep</x:v>
      </x:c>
      <x:c r="I16" s="13" t="str">
        <x:v>Objections</x:v>
      </x:c>
      <x:c r="J16" s="13" t="str">
        <x:v>Not Started</x:v>
      </x:c>
      <x:c r="K16" s="19" t="n">
        <x:v>0</x:v>
      </x:c>
      <x:c r="L16" s="13" t="str"/>
      <x:c r="M16" s="13" t="str"/>
    </x:row>
    <x:row r="17">
      <x:c r="A17" s="13" t="n">
        <x:v>12</x:v>
      </x:c>
      <x:c r="B17" s="18" t="n">
        <x:v>46265</x:v>
      </x:c>
      <x:c r="C17" s="13" t="str">
        <x:v>Main wave</x:v>
      </x:c>
      <x:c r="D17" s="13" t="str">
        <x:v>Second wave + follow-ups</x:v>
      </x:c>
      <x:c r="E17" s="13" t="str">
        <x:v>List</x:v>
      </x:c>
      <x:c r="F17" s="13" t="str">
        <x:v>Apply</x:v>
      </x:c>
      <x:c r="G17" s="13" t="str">
        <x:v>Follow-up</x:v>
      </x:c>
      <x:c r="H17" s="13" t="str">
        <x:v>Polish</x:v>
      </x:c>
      <x:c r="I17" s="13" t="str">
        <x:v>Gate</x:v>
      </x:c>
      <x:c r="J17" s="13" t="str">
        <x:v>Not Started</x:v>
      </x:c>
      <x:c r="K17" s="19" t="n">
        <x:v>0</x:v>
      </x:c>
      <x:c r="L17" s="13" t="str"/>
      <x:c r="M17" s="13" t="str"/>
    </x:row>
    <x:row r="18">
      <x:c r="A18" s="13" t="n">
        <x:v>13</x:v>
      </x:c>
      <x:c r="B18" s="18" t="n">
        <x:v>46272</x:v>
      </x:c>
      <x:c r="C18" s="13" t="str">
        <x:v>ARA</x:v>
      </x:c>
      <x:c r="D18" s="13" t="str">
        <x:v>ARA MVP if package ready</x:v>
      </x:c>
      <x:c r="E18" s="13" t="str">
        <x:v>Decision</x:v>
      </x:c>
      <x:c r="F18" s="13" t="str">
        <x:v>README/MVP</x:v>
      </x:c>
      <x:c r="G18" s="13" t="str">
        <x:v>Mixed roles</x:v>
      </x:c>
      <x:c r="H18" s="13" t="str">
        <x:v>AI study</x:v>
      </x:c>
      <x:c r="I18" s="13" t="str">
        <x:v>Claims</x:v>
      </x:c>
      <x:c r="J18" s="13" t="str">
        <x:v>Not Started</x:v>
      </x:c>
      <x:c r="K18" s="19" t="n">
        <x:v>0</x:v>
      </x:c>
      <x:c r="L18" s="13" t="str"/>
      <x:c r="M18" s="13" t="str"/>
    </x:row>
    <x:row r="19">
      <x:c r="A19" s="13" t="n">
        <x:v>14</x:v>
      </x:c>
      <x:c r="B19" s="18" t="n">
        <x:v>46279</x:v>
      </x:c>
      <x:c r="C19" s="13" t="str">
        <x:v>Pivot</x:v>
      </x:c>
      <x:c r="D19" s="13" t="str">
        <x:v>Evidence-based adjustment</x:v>
      </x:c>
      <x:c r="E19" s="13" t="str">
        <x:v>Decide</x:v>
      </x:c>
      <x:c r="F19" s="13" t="str">
        <x:v>Update</x:v>
      </x:c>
      <x:c r="G19" s="13" t="str">
        <x:v>Apply</x:v>
      </x:c>
      <x:c r="H19" s="13" t="str">
        <x:v>Pitch</x:v>
      </x:c>
      <x:c r="I19" s="13" t="str">
        <x:v>Compare</x:v>
      </x:c>
      <x:c r="J19" s="13" t="str">
        <x:v>Not Started</x:v>
      </x:c>
      <x:c r="K19" s="19" t="n">
        <x:v>0</x:v>
      </x:c>
      <x:c r="L19" s="13" t="str"/>
      <x:c r="M19" s="13" t="str"/>
    </x:row>
    <x:row r="20">
      <x:c r="A20" s="13" t="n">
        <x:v>15</x:v>
      </x:c>
      <x:c r="B20" s="18" t="n">
        <x:v>46286</x:v>
      </x:c>
      <x:c r="C20" s="13" t="str">
        <x:v>Negotiation</x:v>
      </x:c>
      <x:c r="D20" s="13" t="str">
        <x:v>Offers and contracts</x:v>
      </x:c>
      <x:c r="E20" s="13" t="str">
        <x:v>Ranges</x:v>
      </x:c>
      <x:c r="F20" s="13" t="str">
        <x:v>Clauses</x:v>
      </x:c>
      <x:c r="G20" s="13" t="str">
        <x:v>Pipeline</x:v>
      </x:c>
      <x:c r="H20" s="13" t="str">
        <x:v>Simulation</x:v>
      </x:c>
      <x:c r="I20" s="13" t="str">
        <x:v>Decision</x:v>
      </x:c>
      <x:c r="J20" s="13" t="str">
        <x:v>Not Started</x:v>
      </x:c>
      <x:c r="K20" s="19" t="n">
        <x:v>0</x:v>
      </x:c>
      <x:c r="L20" s="13" t="str"/>
      <x:c r="M20" s="13" t="str"/>
    </x:row>
    <x:row r="21">
      <x:c r="A21" s="13" t="n">
        <x:v>16</x:v>
      </x:c>
      <x:c r="B21" s="18" t="n">
        <x:v>46293</x:v>
      </x:c>
      <x:c r="C21" s="13" t="str">
        <x:v>Cycle close</x:v>
      </x:c>
      <x:c r="D21" s="13" t="str">
        <x:v>Audit and next 90 days</x:v>
      </x:c>
      <x:c r="E21" s="13" t="str">
        <x:v>Metrics</x:v>
      </x:c>
      <x:c r="F21" s="13" t="str">
        <x:v>Next cycle</x:v>
      </x:c>
      <x:c r="G21" s="13" t="str">
        <x:v>Final wave</x:v>
      </x:c>
      <x:c r="H21" s="13" t="str">
        <x:v>Retro</x:v>
      </x:c>
      <x:c r="I21" s="13" t="str">
        <x:v>Plan</x:v>
      </x:c>
      <x:c r="J21" s="13" t="str">
        <x:v>Not Started</x:v>
      </x:c>
      <x:c r="K21" s="19" t="n">
        <x:v>0</x:v>
      </x:c>
      <x:c r="L21" s="13" t="str"/>
      <x:c r="M21" s="13" t="str"/>
    </x:row>
  </x:sheetData>
  <x:mergeCells>
    <x:mergeCell ref="A1:J1"/>
    <x:mergeCell ref="A2:J2"/>
  </x:mergeCells>
  <x:dataValidations count="1">
    <x:dataValidation type="list" sqref="J6:J21">
      <x:formula1>"Not Started,In Progress,Blocked,Done,Paused"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56c7901b6142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1.25" hidden="0" customWidth="1"/>
    <x:col min="3" max="3" width="23.75" hidden="0" customWidth="1"/>
    <x:col min="4" max="4" width="9.380000114440918" hidden="0" customWidth="1"/>
    <x:col min="5" max="5" width="20" hidden="0" customWidth="1"/>
    <x:col min="6" max="6" width="8.75" hidden="0" customWidth="1"/>
    <x:col min="7" max="7" width="11.880000114440918" hidden="0" customWidth="1"/>
    <x:col min="8" max="8" width="8.75" hidden="0" customWidth="1"/>
    <x:col min="9" max="9" width="9.380000114440918" hidden="0" customWidth="1"/>
    <x:col min="10" max="10" width="11.880000114440918" hidden="0" customWidth="1"/>
    <x:col min="11" max="11" width="8.75" hidden="0" customWidth="1"/>
    <x:col min="12" max="12" width="10" hidden="0" customWidth="1"/>
    <x:col min="13" max="13" width="10" hidden="0" customWidth="1"/>
    <x:col min="14" max="14" width="13.75" hidden="0" customWidth="1"/>
    <x:col min="15" max="15" width="13.75" hidden="0" customWidth="1"/>
    <x:col min="16" max="16" width="27.5" hidden="0" customWidth="1"/>
    <x:col min="17" max="17" width="27.5" hidden="0" customWidth="1"/>
    <x:col min="18" max="18" width="32.5" hidden="0" customWidth="1"/>
  </x:cols>
  <x:sheetData>
    <x:row r="1">
      <x:c r="A1" s="3" t="str">
        <x:v>Applications Pipeline</x:v>
      </x:c>
      <x:c r="B1" s="3" t="str">
        <x:v>Applications Pipeline</x:v>
      </x:c>
      <x:c r="C1" s="3" t="str">
        <x:v>Applications Pipeline</x:v>
      </x:c>
      <x:c r="D1" s="3" t="str">
        <x:v>Applications Pipeline</x:v>
      </x:c>
      <x:c r="E1" s="3" t="str">
        <x:v>Applications Pipeline</x:v>
      </x:c>
      <x:c r="F1" s="3" t="str">
        <x:v>Applications Pipeline</x:v>
      </x:c>
      <x:c r="G1" s="3" t="str">
        <x:v>Applications Pipeline</x:v>
      </x:c>
      <x:c r="H1" s="3" t="str">
        <x:v>Applications Pipeline</x:v>
      </x:c>
      <x:c r="I1" s="3" t="str">
        <x:v>Applications Pipeline</x:v>
      </x:c>
      <x:c r="J1" s="3" t="str">
        <x:v>Applications Pipeline</x:v>
      </x:c>
      <x:c r="K1" s="3" t="str">
        <x:v>Applications Pipeline</x:v>
      </x:c>
      <x:c r="L1" s="3" t="str">
        <x:v>Applications Pipeline</x:v>
      </x:c>
      <x:c r="M1" s="3" t="str">
        <x:v>Applications Pipeline</x:v>
      </x:c>
      <x:c r="N1" s="3" t="str">
        <x:v>Applications Pipeline</x:v>
      </x:c>
      <x:c r="O1" s="3" t="str">
        <x:v>Applications Pipeline</x:v>
      </x:c>
      <x:c r="P1" s="3" t="str">
        <x:v>Applications Pipeline</x:v>
      </x:c>
      <x:c r="Q1" s="3" t="str">
        <x:v>Applications Pipeline</x:v>
      </x:c>
    </x:row>
    <x:row r="2">
      <x:c r="A2" s="6" t="str">
        <x:v>Score first, apply second. Fit Score &gt;= 10 = aplicar rapido; 7-9 = investigar; &lt;=6 = descartar.</x:v>
      </x:c>
      <x:c r="B2" s="6" t="str">
        <x:v>Score first, apply second. Fit Score &gt;= 10 = aplicar rapido; 7-9 = investigar; &lt;=6 = descartar.</x:v>
      </x:c>
      <x:c r="C2" s="6" t="str">
        <x:v>Score first, apply second. Fit Score &gt;= 10 = aplicar rapido; 7-9 = investigar; &lt;=6 = descartar.</x:v>
      </x:c>
      <x:c r="D2" s="6" t="str">
        <x:v>Score first, apply second. Fit Score &gt;= 10 = aplicar rapido; 7-9 = investigar; &lt;=6 = descartar.</x:v>
      </x:c>
      <x:c r="E2" s="6" t="str">
        <x:v>Score first, apply second. Fit Score &gt;= 10 = aplicar rapido; 7-9 = investigar; &lt;=6 = descartar.</x:v>
      </x:c>
      <x:c r="F2" s="6" t="str">
        <x:v>Score first, apply second. Fit Score &gt;= 10 = aplicar rapido; 7-9 = investigar; &lt;=6 = descartar.</x:v>
      </x:c>
      <x:c r="G2" s="6" t="str">
        <x:v>Score first, apply second. Fit Score &gt;= 10 = aplicar rapido; 7-9 = investigar; &lt;=6 = descartar.</x:v>
      </x:c>
      <x:c r="H2" s="6" t="str">
        <x:v>Score first, apply second. Fit Score &gt;= 10 = aplicar rapido; 7-9 = investigar; &lt;=6 = descartar.</x:v>
      </x:c>
      <x:c r="I2" s="6" t="str">
        <x:v>Score first, apply second. Fit Score &gt;= 10 = aplicar rapido; 7-9 = investigar; &lt;=6 = descartar.</x:v>
      </x:c>
      <x:c r="J2" s="6" t="str">
        <x:v>Score first, apply second. Fit Score &gt;= 10 = aplicar rapido; 7-9 = investigar; &lt;=6 = descartar.</x:v>
      </x:c>
      <x:c r="K2" s="6" t="str">
        <x:v>Score first, apply second. Fit Score &gt;= 10 = aplicar rapido; 7-9 = investigar; &lt;=6 = descartar.</x:v>
      </x:c>
      <x:c r="L2" s="6" t="str">
        <x:v>Score first, apply second. Fit Score &gt;= 10 = aplicar rapido; 7-9 = investigar; &lt;=6 = descartar.</x:v>
      </x:c>
      <x:c r="M2" s="6" t="str">
        <x:v>Score first, apply second. Fit Score &gt;= 10 = aplicar rapido; 7-9 = investigar; &lt;=6 = descartar.</x:v>
      </x:c>
      <x:c r="N2" s="6" t="str">
        <x:v>Score first, apply second. Fit Score &gt;= 10 = aplicar rapido; 7-9 = investigar; &lt;=6 = descartar.</x:v>
      </x:c>
      <x:c r="O2" s="6" t="str">
        <x:v>Score first, apply second. Fit Score &gt;= 10 = aplicar rapido; 7-9 = investigar; &lt;=6 = descartar.</x:v>
      </x:c>
      <x:c r="P2" s="6" t="str">
        <x:v>Score first, apply second. Fit Score &gt;= 10 = aplicar rapido; 7-9 = investigar; &lt;=6 = descartar.</x:v>
      </x:c>
      <x:c r="Q2" s="6" t="str">
        <x:v>Score first, apply second. Fit Score &gt;= 10 = aplicar rapido; 7-9 = investigar; &lt;=6 = descartar.</x:v>
      </x:c>
    </x:row>
    <x:row r="5">
      <x:c r="A5" s="9" t="str">
        <x:v>Date</x:v>
      </x:c>
      <x:c r="B5" s="9" t="str">
        <x:v>Company</x:v>
      </x:c>
      <x:c r="C5" s="9" t="str">
        <x:v>Role</x:v>
      </x:c>
      <x:c r="D5" s="9" t="str">
        <x:v>Layer</x:v>
      </x:c>
      <x:c r="E5" s="9" t="str">
        <x:v>Role Family</x:v>
      </x:c>
      <x:c r="F5" s="9" t="str">
        <x:v>Role Fit</x:v>
      </x:c>
      <x:c r="G5" s="9" t="str">
        <x:v>Portfolio Match</x:v>
      </x:c>
      <x:c r="H5" s="9" t="str">
        <x:v>Remote</x:v>
      </x:c>
      <x:c r="I5" s="9" t="str">
        <x:v>Contract</x:v>
      </x:c>
      <x:c r="J5" s="9" t="str">
        <x:v>Authorization</x:v>
      </x:c>
      <x:c r="K5" s="9" t="str">
        <x:v>Salary</x:v>
      </x:c>
      <x:c r="L5" s="9" t="str">
        <x:v>Experience</x:v>
      </x:c>
      <x:c r="M5" s="9" t="str">
        <x:v>Fit Score</x:v>
      </x:c>
      <x:c r="N5" s="9" t="str">
        <x:v>Status</x:v>
      </x:c>
      <x:c r="O5" s="9" t="str">
        <x:v>Next Action Date</x:v>
      </x:c>
      <x:c r="P5" s="9" t="str">
        <x:v>Portfolio Angle</x:v>
      </x:c>
      <x:c r="Q5" s="9" t="str">
        <x:v>Contact/URL</x:v>
      </x:c>
      <x:c r="R5" s="9" t="str">
        <x:v>Notes</x:v>
      </x:c>
    </x:row>
    <x:row r="6">
      <x:c r="A6" s="18" t="n">
        <x:v>46190</x:v>
      </x:c>
      <x:c r="B6" s="13" t="str">
        <x:v>Treeview Studio</x:v>
      </x:c>
      <x:c r="C6" s="13" t="str">
        <x:v>Unity/XR Technical Artist</x:v>
      </x:c>
      <x:c r="D6" s="13" t="str">
        <x:v>A1</x:v>
      </x:c>
      <x:c r="E6" s="13" t="str">
        <x:v>Unity Technical Artist</x:v>
      </x:c>
      <x:c r="F6" s="13" t="n">
        <x:v>2</x:v>
      </x:c>
      <x:c r="G6" s="13" t="n">
        <x:v>2</x:v>
      </x:c>
      <x:c r="H6" s="13" t="n">
        <x:v>2</x:v>
      </x:c>
      <x:c r="I6" s="13" t="n">
        <x:v>1</x:v>
      </x:c>
      <x:c r="J6" s="13" t="n">
        <x:v>2</x:v>
      </x:c>
      <x:c r="K6" s="13" t="n">
        <x:v>1</x:v>
      </x:c>
      <x:c r="L6" s="13" t="n">
        <x:v>2</x:v>
      </x:c>
      <x:c r="M6" s="13" t="n">
        <x:f>IF(C6="","",SUM(F6:L6))</x:f>
        <x:v>12</x:v>
      </x:c>
      <x:c r="N6" s="13" t="str">
        <x:v>Saved</x:v>
      </x:c>
      <x:c r="O6" s="18" t="n">
        <x:v>46197</x:v>
      </x:c>
      <x:c r="P6" s="13" t="str">
        <x:v>TwinSight pipeline + Unity/WebGL</x:v>
      </x:c>
      <x:c r="Q6" s="13" t="str"/>
      <x:c r="R6" s="13" t="str">
        <x:v>Verify remote/contractor route</x:v>
      </x:c>
    </x:row>
    <x:row r="7">
      <x:c r="A7" s="18" t="n">
        <x:v>46190</x:v>
      </x:c>
      <x:c r="B7" s="13" t="str">
        <x:v>Active Theory</x:v>
      </x:c>
      <x:c r="C7" s="13" t="str">
        <x:v>Realtime 3D/WebGL</x:v>
      </x:c>
      <x:c r="D7" s="13" t="str">
        <x:v>A1</x:v>
      </x:c>
      <x:c r="E7" s="13" t="str">
        <x:v>Unity WebGL</x:v>
      </x:c>
      <x:c r="F7" s="13" t="n">
        <x:v>2</x:v>
      </x:c>
      <x:c r="G7" s="13" t="n">
        <x:v>2</x:v>
      </x:c>
      <x:c r="H7" s="13" t="n">
        <x:v>1</x:v>
      </x:c>
      <x:c r="I7" s="13" t="n">
        <x:v>1</x:v>
      </x:c>
      <x:c r="J7" s="13" t="n">
        <x:v>1</x:v>
      </x:c>
      <x:c r="K7" s="13" t="n">
        <x:v>1</x:v>
      </x:c>
      <x:c r="L7" s="13" t="n">
        <x:v>2</x:v>
      </x:c>
      <x:c r="M7" s="13" t="n">
        <x:f>IF(C7="","",SUM(F7:L7))</x:f>
        <x:v>10</x:v>
      </x:c>
      <x:c r="N7" s="13" t="str">
        <x:v>Saved</x:v>
      </x:c>
      <x:c r="O7" s="18" t="n">
        <x:v>46197</x:v>
      </x:c>
      <x:c r="P7" s="13" t="str">
        <x:v>Browser-based 3D demo</x:v>
      </x:c>
      <x:c r="Q7" s="13" t="str"/>
      <x:c r="R7" s="13" t="str">
        <x:v>Creative tech but avoid pure marketing</x:v>
      </x:c>
    </x:row>
    <x:row r="8">
      <x:c r="A8" s="18" t="n">
        <x:v>46190</x:v>
      </x:c>
      <x:c r="B8" s="13" t="str">
        <x:v>Product Visualization Target</x:v>
      </x:c>
      <x:c r="C8" s="13" t="str">
        <x:v>Technical Visualization Developer</x:v>
      </x:c>
      <x:c r="D8" s="13" t="str">
        <x:v>A1</x:v>
      </x:c>
      <x:c r="E8" s="13" t="str">
        <x:v>Technical Visualization</x:v>
      </x:c>
      <x:c r="F8" s="13" t="n">
        <x:v>2</x:v>
      </x:c>
      <x:c r="G8" s="13" t="n">
        <x:v>2</x:v>
      </x:c>
      <x:c r="H8" s="13" t="n">
        <x:v>2</x:v>
      </x:c>
      <x:c r="I8" s="13" t="n">
        <x:v>1</x:v>
      </x:c>
      <x:c r="J8" s="13" t="n">
        <x:v>2</x:v>
      </x:c>
      <x:c r="K8" s="13" t="n">
        <x:v>1</x:v>
      </x:c>
      <x:c r="L8" s="13" t="n">
        <x:v>2</x:v>
      </x:c>
      <x:c r="M8" s="13" t="n">
        <x:f>IF(C8="","",SUM(F8:L8))</x:f>
        <x:v>12</x:v>
      </x:c>
      <x:c r="N8" s="13" t="str">
        <x:v>Saved</x:v>
      </x:c>
      <x:c r="O8" s="18" t="n">
        <x:v>46197</x:v>
      </x:c>
      <x:c r="P8" s="13" t="str">
        <x:v>CAD-to-realtime inspection</x:v>
      </x:c>
      <x:c r="Q8" s="13" t="str"/>
      <x:c r="R8" s="13" t="str">
        <x:v>Replace with real company</x:v>
      </x:c>
    </x:row>
    <x:row r="9">
      <x:c r="A9" s="18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>
        <x:f>IF(C9="","",SUM(F9:L9))</x:f>
      </x:c>
      <x:c r="N9" s="13" t="str"/>
      <x:c r="O9" s="18"/>
      <x:c r="P9" s="13" t="str"/>
      <x:c r="Q9" s="13" t="str"/>
      <x:c r="R9" s="13" t="str"/>
    </x:row>
    <x:row r="10">
      <x:c r="A10" s="18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>
        <x:f>IF(C10="","",SUM(F10:L10))</x:f>
      </x:c>
      <x:c r="N10" s="13" t="str"/>
      <x:c r="O10" s="18"/>
      <x:c r="P10" s="13" t="str"/>
      <x:c r="Q10" s="13" t="str"/>
      <x:c r="R10" s="13" t="str"/>
    </x:row>
    <x:row r="11">
      <x:c r="A11" s="18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>
        <x:f>IF(C11="","",SUM(F11:L11))</x:f>
      </x:c>
      <x:c r="N11" s="13" t="str"/>
      <x:c r="O11" s="18"/>
      <x:c r="P11" s="13" t="str"/>
      <x:c r="Q11" s="13" t="str"/>
      <x:c r="R11" s="13" t="str"/>
    </x:row>
    <x:row r="12">
      <x:c r="A12" s="18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>
        <x:f>IF(C12="","",SUM(F12:L12))</x:f>
      </x:c>
      <x:c r="N12" s="13" t="str"/>
      <x:c r="O12" s="18"/>
      <x:c r="P12" s="13" t="str"/>
      <x:c r="Q12" s="13" t="str"/>
      <x:c r="R12" s="13" t="str"/>
    </x:row>
    <x:row r="13">
      <x:c r="A13" s="18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>
        <x:f>IF(C13="","",SUM(F13:L13))</x:f>
      </x:c>
      <x:c r="N13" s="13" t="str"/>
      <x:c r="O13" s="18"/>
      <x:c r="P13" s="13" t="str"/>
      <x:c r="Q13" s="13" t="str"/>
      <x:c r="R13" s="13" t="str"/>
    </x:row>
    <x:row r="14">
      <x:c r="A14" s="18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>
        <x:f>IF(C14="","",SUM(F14:L14))</x:f>
      </x:c>
      <x:c r="N14" s="13" t="str"/>
      <x:c r="O14" s="18"/>
      <x:c r="P14" s="13" t="str"/>
      <x:c r="Q14" s="13" t="str"/>
      <x:c r="R14" s="13" t="str"/>
    </x:row>
    <x:row r="15">
      <x:c r="A15" s="18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>
        <x:f>IF(C15="","",SUM(F15:L15))</x:f>
      </x:c>
      <x:c r="N15" s="13" t="str"/>
      <x:c r="O15" s="18"/>
      <x:c r="P15" s="13" t="str"/>
      <x:c r="Q15" s="13" t="str"/>
      <x:c r="R15" s="13" t="str"/>
    </x:row>
    <x:row r="16">
      <x:c r="A16" s="18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>
        <x:f>IF(C16="","",SUM(F16:L16))</x:f>
      </x:c>
      <x:c r="N16" s="13" t="str"/>
      <x:c r="O16" s="18"/>
      <x:c r="P16" s="13" t="str"/>
      <x:c r="Q16" s="13" t="str"/>
      <x:c r="R16" s="13" t="str"/>
    </x:row>
    <x:row r="17">
      <x:c r="A17" s="18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  <x:c r="K17" s="13" t="str"/>
      <x:c r="L17" s="13" t="str"/>
      <x:c r="M17" s="13" t="str">
        <x:f>IF(C17="","",SUM(F17:L17))</x:f>
      </x:c>
      <x:c r="N17" s="13" t="str"/>
      <x:c r="O17" s="18"/>
      <x:c r="P17" s="13" t="str"/>
      <x:c r="Q17" s="13" t="str"/>
      <x:c r="R17" s="13" t="str"/>
    </x:row>
    <x:row r="18">
      <x:c r="A18" s="18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>
        <x:f>IF(C18="","",SUM(F18:L18))</x:f>
      </x:c>
      <x:c r="N18" s="13" t="str"/>
      <x:c r="O18" s="18"/>
      <x:c r="P18" s="13" t="str"/>
      <x:c r="Q18" s="13" t="str"/>
      <x:c r="R18" s="13" t="str"/>
    </x:row>
    <x:row r="19">
      <x:c r="A19" s="18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  <x:c r="K19" s="13" t="str"/>
      <x:c r="L19" s="13" t="str"/>
      <x:c r="M19" s="13" t="str">
        <x:f>IF(C19="","",SUM(F19:L19))</x:f>
      </x:c>
      <x:c r="N19" s="13" t="str"/>
      <x:c r="O19" s="18"/>
      <x:c r="P19" s="13" t="str"/>
      <x:c r="Q19" s="13" t="str"/>
      <x:c r="R19" s="13" t="str"/>
    </x:row>
    <x:row r="20">
      <x:c r="A20" s="18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>
        <x:f>IF(C20="","",SUM(F20:L20))</x:f>
      </x:c>
      <x:c r="N20" s="13" t="str"/>
      <x:c r="O20" s="18"/>
      <x:c r="P20" s="13" t="str"/>
      <x:c r="Q20" s="13" t="str"/>
      <x:c r="R20" s="13" t="str"/>
    </x:row>
    <x:row r="21">
      <x:c r="A21" s="18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>
        <x:f>IF(C21="","",SUM(F21:L21))</x:f>
      </x:c>
      <x:c r="N21" s="13" t="str"/>
      <x:c r="O21" s="18"/>
      <x:c r="P21" s="13" t="str"/>
      <x:c r="Q21" s="13" t="str"/>
      <x:c r="R21" s="13" t="str"/>
    </x:row>
    <x:row r="22">
      <x:c r="A22" s="18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>
        <x:f>IF(C22="","",SUM(F22:L22))</x:f>
      </x:c>
      <x:c r="N22" s="13" t="str"/>
      <x:c r="O22" s="18"/>
      <x:c r="P22" s="13" t="str"/>
      <x:c r="Q22" s="13" t="str"/>
      <x:c r="R22" s="13" t="str"/>
    </x:row>
    <x:row r="23">
      <x:c r="A23" s="18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>
        <x:f>IF(C23="","",SUM(F23:L23))</x:f>
      </x:c>
      <x:c r="N23" s="13" t="str"/>
      <x:c r="O23" s="18"/>
      <x:c r="P23" s="13" t="str"/>
      <x:c r="Q23" s="13" t="str"/>
      <x:c r="R23" s="13" t="str"/>
    </x:row>
    <x:row r="24">
      <x:c r="A24" s="18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>
        <x:f>IF(C24="","",SUM(F24:L24))</x:f>
      </x:c>
      <x:c r="N24" s="13" t="str"/>
      <x:c r="O24" s="18"/>
      <x:c r="P24" s="13" t="str"/>
      <x:c r="Q24" s="13" t="str"/>
      <x:c r="R24" s="13" t="str"/>
    </x:row>
    <x:row r="25">
      <x:c r="A25" s="18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>
        <x:f>IF(C25="","",SUM(F25:L25))</x:f>
      </x:c>
      <x:c r="N25" s="13" t="str"/>
      <x:c r="O25" s="18"/>
      <x:c r="P25" s="13" t="str"/>
      <x:c r="Q25" s="13" t="str"/>
      <x:c r="R25" s="13" t="str"/>
    </x:row>
    <x:row r="26">
      <x:c r="A26" s="18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>
        <x:f>IF(C26="","",SUM(F26:L26))</x:f>
      </x:c>
      <x:c r="N26" s="13" t="str"/>
      <x:c r="O26" s="18"/>
      <x:c r="P26" s="13" t="str"/>
      <x:c r="Q26" s="13" t="str"/>
      <x:c r="R26" s="13" t="str"/>
    </x:row>
    <x:row r="27">
      <x:c r="A27" s="18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/>
      <x:c r="K27" s="13" t="str"/>
      <x:c r="L27" s="13" t="str"/>
      <x:c r="M27" s="13" t="str">
        <x:f>IF(C27="","",SUM(F27:L27))</x:f>
      </x:c>
      <x:c r="N27" s="13" t="str"/>
      <x:c r="O27" s="18"/>
      <x:c r="P27" s="13" t="str"/>
      <x:c r="Q27" s="13" t="str"/>
      <x:c r="R27" s="13" t="str"/>
    </x:row>
    <x:row r="28">
      <x:c r="A28" s="18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13" t="str"/>
      <x:c r="M28" s="13" t="str">
        <x:f>IF(C28="","",SUM(F28:L28))</x:f>
      </x:c>
      <x:c r="N28" s="13" t="str"/>
      <x:c r="O28" s="18"/>
      <x:c r="P28" s="13" t="str"/>
      <x:c r="Q28" s="13" t="str"/>
      <x:c r="R28" s="13" t="str"/>
    </x:row>
    <x:row r="29">
      <x:c r="A29" s="18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13" t="str"/>
      <x:c r="M29" s="13" t="str">
        <x:f>IF(C29="","",SUM(F29:L29))</x:f>
      </x:c>
      <x:c r="N29" s="13" t="str"/>
      <x:c r="O29" s="18"/>
      <x:c r="P29" s="13" t="str"/>
      <x:c r="Q29" s="13" t="str"/>
      <x:c r="R29" s="13" t="str"/>
    </x:row>
    <x:row r="30">
      <x:c r="A30" s="18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>
        <x:f>IF(C30="","",SUM(F30:L30))</x:f>
      </x:c>
      <x:c r="N30" s="13" t="str"/>
      <x:c r="O30" s="18"/>
      <x:c r="P30" s="13" t="str"/>
      <x:c r="Q30" s="13" t="str"/>
      <x:c r="R30" s="13" t="str"/>
    </x:row>
    <x:row r="31">
      <x:c r="A31" s="18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>
        <x:f>IF(C31="","",SUM(F31:L31))</x:f>
      </x:c>
      <x:c r="N31" s="13" t="str"/>
      <x:c r="O31" s="18"/>
      <x:c r="P31" s="13" t="str"/>
      <x:c r="Q31" s="13" t="str"/>
      <x:c r="R31" s="13" t="str"/>
    </x:row>
    <x:row r="32">
      <x:c r="A32" s="18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>
        <x:f>IF(C32="","",SUM(F32:L32))</x:f>
      </x:c>
      <x:c r="N32" s="13" t="str"/>
      <x:c r="O32" s="18"/>
      <x:c r="P32" s="13" t="str"/>
      <x:c r="Q32" s="13" t="str"/>
      <x:c r="R32" s="13" t="str"/>
    </x:row>
    <x:row r="33">
      <x:c r="A33" s="18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>
        <x:f>IF(C33="","",SUM(F33:L33))</x:f>
      </x:c>
      <x:c r="N33" s="13" t="str"/>
      <x:c r="O33" s="18"/>
      <x:c r="P33" s="13" t="str"/>
      <x:c r="Q33" s="13" t="str"/>
      <x:c r="R33" s="13" t="str"/>
    </x:row>
    <x:row r="34">
      <x:c r="A34" s="18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/>
      <x:c r="K34" s="13" t="str"/>
      <x:c r="L34" s="13" t="str"/>
      <x:c r="M34" s="13" t="str">
        <x:f>IF(C34="","",SUM(F34:L34))</x:f>
      </x:c>
      <x:c r="N34" s="13" t="str"/>
      <x:c r="O34" s="18"/>
      <x:c r="P34" s="13" t="str"/>
      <x:c r="Q34" s="13" t="str"/>
      <x:c r="R34" s="13" t="str"/>
    </x:row>
    <x:row r="35">
      <x:c r="A35" s="18"/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>
        <x:f>IF(C35="","",SUM(F35:L35))</x:f>
      </x:c>
      <x:c r="N35" s="13" t="str"/>
      <x:c r="O35" s="18"/>
      <x:c r="P35" s="13" t="str"/>
      <x:c r="Q35" s="13" t="str"/>
      <x:c r="R35" s="13" t="str"/>
    </x:row>
    <x:row r="36">
      <x:c r="A36" s="18"/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>
        <x:f>IF(C36="","",SUM(F36:L36))</x:f>
      </x:c>
      <x:c r="N36" s="13" t="str"/>
      <x:c r="O36" s="18"/>
      <x:c r="P36" s="13" t="str"/>
      <x:c r="Q36" s="13" t="str"/>
      <x:c r="R36" s="13" t="str"/>
    </x:row>
    <x:row r="37">
      <x:c r="A37" s="18"/>
      <x:c r="B37" s="13" t="str"/>
      <x:c r="C37" s="13" t="str"/>
      <x:c r="D37" s="13" t="str"/>
      <x:c r="E37" s="13" t="str"/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>
        <x:f>IF(C37="","",SUM(F37:L37))</x:f>
      </x:c>
      <x:c r="N37" s="13" t="str"/>
      <x:c r="O37" s="18"/>
      <x:c r="P37" s="13" t="str"/>
      <x:c r="Q37" s="13" t="str"/>
      <x:c r="R37" s="13" t="str"/>
    </x:row>
    <x:row r="38">
      <x:c r="A38" s="18"/>
      <x:c r="B38" s="13" t="str"/>
      <x:c r="C38" s="13" t="str"/>
      <x:c r="D38" s="13" t="str"/>
      <x:c r="E38" s="13" t="str"/>
      <x:c r="F38" s="13" t="str"/>
      <x:c r="G38" s="13" t="str"/>
      <x:c r="H38" s="13" t="str"/>
      <x:c r="I38" s="13" t="str"/>
      <x:c r="J38" s="13" t="str"/>
      <x:c r="K38" s="13" t="str"/>
      <x:c r="L38" s="13" t="str"/>
      <x:c r="M38" s="13" t="str">
        <x:f>IF(C38="","",SUM(F38:L38))</x:f>
      </x:c>
      <x:c r="N38" s="13" t="str"/>
      <x:c r="O38" s="18"/>
      <x:c r="P38" s="13" t="str"/>
      <x:c r="Q38" s="13" t="str"/>
      <x:c r="R38" s="13" t="str"/>
    </x:row>
    <x:row r="39">
      <x:c r="A39" s="18"/>
      <x:c r="B39" s="13" t="str"/>
      <x:c r="C39" s="13" t="str"/>
      <x:c r="D39" s="13" t="str"/>
      <x:c r="E39" s="13" t="str"/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>
        <x:f>IF(C39="","",SUM(F39:L39))</x:f>
      </x:c>
      <x:c r="N39" s="13" t="str"/>
      <x:c r="O39" s="18"/>
      <x:c r="P39" s="13" t="str"/>
      <x:c r="Q39" s="13" t="str"/>
      <x:c r="R39" s="13" t="str"/>
    </x:row>
    <x:row r="40">
      <x:c r="A40" s="18"/>
      <x:c r="B40" s="13" t="str"/>
      <x:c r="C40" s="13" t="str"/>
      <x:c r="D40" s="13" t="str"/>
      <x:c r="E40" s="13" t="str"/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>
        <x:f>IF(C40="","",SUM(F40:L40))</x:f>
      </x:c>
      <x:c r="N40" s="13" t="str"/>
      <x:c r="O40" s="18"/>
      <x:c r="P40" s="13" t="str"/>
      <x:c r="Q40" s="13" t="str"/>
      <x:c r="R40" s="13" t="str"/>
    </x:row>
    <x:row r="41">
      <x:c r="A41" s="18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>
        <x:f>IF(C41="","",SUM(F41:L41))</x:f>
      </x:c>
      <x:c r="N41" s="13" t="str"/>
      <x:c r="O41" s="18"/>
      <x:c r="P41" s="13" t="str"/>
      <x:c r="Q41" s="13" t="str"/>
      <x:c r="R41" s="13" t="str"/>
    </x:row>
    <x:row r="42">
      <x:c r="A42" s="18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13" t="str"/>
      <x:c r="L42" s="13" t="str"/>
      <x:c r="M42" s="13" t="str">
        <x:f>IF(C42="","",SUM(F42:L42))</x:f>
      </x:c>
      <x:c r="N42" s="13" t="str"/>
      <x:c r="O42" s="18"/>
      <x:c r="P42" s="13" t="str"/>
      <x:c r="Q42" s="13" t="str"/>
      <x:c r="R42" s="13" t="str"/>
    </x:row>
    <x:row r="43">
      <x:c r="A43" s="18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>
        <x:f>IF(C43="","",SUM(F43:L43))</x:f>
      </x:c>
      <x:c r="N43" s="13" t="str"/>
      <x:c r="O43" s="18"/>
      <x:c r="P43" s="13" t="str"/>
      <x:c r="Q43" s="13" t="str"/>
      <x:c r="R43" s="13" t="str"/>
    </x:row>
    <x:row r="44">
      <x:c r="A44" s="18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>
        <x:f>IF(C44="","",SUM(F44:L44))</x:f>
      </x:c>
      <x:c r="N44" s="13" t="str"/>
      <x:c r="O44" s="18"/>
      <x:c r="P44" s="13" t="str"/>
      <x:c r="Q44" s="13" t="str"/>
      <x:c r="R44" s="13" t="str"/>
    </x:row>
    <x:row r="45">
      <x:c r="A45" s="18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>
        <x:f>IF(C45="","",SUM(F45:L45))</x:f>
      </x:c>
      <x:c r="N45" s="13" t="str"/>
      <x:c r="O45" s="18"/>
      <x:c r="P45" s="13" t="str"/>
      <x:c r="Q45" s="13" t="str"/>
      <x:c r="R45" s="13" t="str"/>
    </x:row>
    <x:row r="46">
      <x:c r="A46" s="18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>
        <x:f>IF(C46="","",SUM(F46:L46))</x:f>
      </x:c>
      <x:c r="N46" s="13" t="str"/>
      <x:c r="O46" s="18"/>
      <x:c r="P46" s="13" t="str"/>
      <x:c r="Q46" s="13" t="str"/>
      <x:c r="R46" s="13" t="str"/>
    </x:row>
    <x:row r="47">
      <x:c r="A47" s="18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>
        <x:f>IF(C47="","",SUM(F47:L47))</x:f>
      </x:c>
      <x:c r="N47" s="13" t="str"/>
      <x:c r="O47" s="18"/>
      <x:c r="P47" s="13" t="str"/>
      <x:c r="Q47" s="13" t="str"/>
      <x:c r="R47" s="13" t="str"/>
    </x:row>
    <x:row r="48">
      <x:c r="A48" s="18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>
        <x:f>IF(C48="","",SUM(F48:L48))</x:f>
      </x:c>
      <x:c r="N48" s="13" t="str"/>
      <x:c r="O48" s="18"/>
      <x:c r="P48" s="13" t="str"/>
      <x:c r="Q48" s="13" t="str"/>
      <x:c r="R48" s="13" t="str"/>
    </x:row>
    <x:row r="49">
      <x:c r="A49" s="18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>
        <x:f>IF(C49="","",SUM(F49:L49))</x:f>
      </x:c>
      <x:c r="N49" s="13" t="str"/>
      <x:c r="O49" s="18"/>
      <x:c r="P49" s="13" t="str"/>
      <x:c r="Q49" s="13" t="str"/>
      <x:c r="R49" s="13" t="str"/>
    </x:row>
    <x:row r="50">
      <x:c r="A50" s="18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>
        <x:f>IF(C50="","",SUM(F50:L50))</x:f>
      </x:c>
      <x:c r="N50" s="13" t="str"/>
      <x:c r="O50" s="18"/>
      <x:c r="P50" s="13" t="str"/>
      <x:c r="Q50" s="13" t="str"/>
      <x:c r="R50" s="13" t="str"/>
    </x:row>
    <x:row r="51">
      <x:c r="A51" s="18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13" t="str"/>
      <x:c r="L51" s="13" t="str"/>
      <x:c r="M51" s="13" t="str">
        <x:f>IF(C51="","",SUM(F51:L51))</x:f>
      </x:c>
      <x:c r="N51" s="13" t="str"/>
      <x:c r="O51" s="18"/>
      <x:c r="P51" s="13" t="str"/>
      <x:c r="Q51" s="13" t="str"/>
      <x:c r="R51" s="13" t="str"/>
    </x:row>
    <x:row r="52">
      <x:c r="A52" s="18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/>
      <x:c r="J52" s="13" t="str"/>
      <x:c r="K52" s="13" t="str"/>
      <x:c r="L52" s="13" t="str"/>
      <x:c r="M52" s="13" t="str">
        <x:f>IF(C52="","",SUM(F52:L52))</x:f>
      </x:c>
      <x:c r="N52" s="13" t="str"/>
      <x:c r="O52" s="18"/>
      <x:c r="P52" s="13" t="str"/>
      <x:c r="Q52" s="13" t="str"/>
      <x:c r="R52" s="13" t="str"/>
    </x:row>
    <x:row r="53">
      <x:c r="A53" s="18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/>
      <x:c r="J53" s="13" t="str"/>
      <x:c r="K53" s="13" t="str"/>
      <x:c r="L53" s="13" t="str"/>
      <x:c r="M53" s="13" t="str">
        <x:f>IF(C53="","",SUM(F53:L53))</x:f>
      </x:c>
      <x:c r="N53" s="13" t="str"/>
      <x:c r="O53" s="18"/>
      <x:c r="P53" s="13" t="str"/>
      <x:c r="Q53" s="13" t="str"/>
      <x:c r="R53" s="13" t="str"/>
    </x:row>
    <x:row r="54">
      <x:c r="A54" s="18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>
        <x:f>IF(C54="","",SUM(F54:L54))</x:f>
      </x:c>
      <x:c r="N54" s="13" t="str"/>
      <x:c r="O54" s="18"/>
      <x:c r="P54" s="13" t="str"/>
      <x:c r="Q54" s="13" t="str"/>
      <x:c r="R54" s="13" t="str"/>
    </x:row>
    <x:row r="55">
      <x:c r="A55" s="18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>
        <x:f>IF(C55="","",SUM(F55:L55))</x:f>
      </x:c>
      <x:c r="N55" s="13" t="str"/>
      <x:c r="O55" s="18"/>
      <x:c r="P55" s="13" t="str"/>
      <x:c r="Q55" s="13" t="str"/>
      <x:c r="R55" s="13" t="str"/>
    </x:row>
    <x:row r="56">
      <x:c r="A56" s="18"/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>
        <x:f>IF(C56="","",SUM(F56:L56))</x:f>
      </x:c>
      <x:c r="N56" s="13" t="str"/>
      <x:c r="O56" s="18"/>
      <x:c r="P56" s="13" t="str"/>
      <x:c r="Q56" s="13" t="str"/>
      <x:c r="R56" s="13" t="str"/>
    </x:row>
    <x:row r="57">
      <x:c r="A57" s="18"/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/>
      <x:c r="J57" s="13" t="str"/>
      <x:c r="K57" s="13" t="str"/>
      <x:c r="L57" s="13" t="str"/>
      <x:c r="M57" s="13" t="str">
        <x:f>IF(C57="","",SUM(F57:L57))</x:f>
      </x:c>
      <x:c r="N57" s="13" t="str"/>
      <x:c r="O57" s="18"/>
      <x:c r="P57" s="13" t="str"/>
      <x:c r="Q57" s="13" t="str"/>
      <x:c r="R57" s="13" t="str"/>
    </x:row>
    <x:row r="58">
      <x:c r="A58" s="18"/>
      <x:c r="B58" s="13" t="str"/>
      <x:c r="C58" s="13" t="str"/>
      <x:c r="D58" s="13" t="str"/>
      <x:c r="E58" s="13" t="str"/>
      <x:c r="F58" s="13" t="str"/>
      <x:c r="G58" s="13" t="str"/>
      <x:c r="H58" s="13" t="str"/>
      <x:c r="I58" s="13" t="str"/>
      <x:c r="J58" s="13" t="str"/>
      <x:c r="K58" s="13" t="str"/>
      <x:c r="L58" s="13" t="str"/>
      <x:c r="M58" s="13" t="str">
        <x:f>IF(C58="","",SUM(F58:L58))</x:f>
      </x:c>
      <x:c r="N58" s="13" t="str"/>
      <x:c r="O58" s="18"/>
      <x:c r="P58" s="13" t="str"/>
      <x:c r="Q58" s="13" t="str"/>
      <x:c r="R58" s="13" t="str"/>
    </x:row>
    <x:row r="59">
      <x:c r="A59" s="18"/>
      <x:c r="B59" s="13" t="str"/>
      <x:c r="C59" s="13" t="str"/>
      <x:c r="D59" s="13" t="str"/>
      <x:c r="E59" s="13" t="str"/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>
        <x:f>IF(C59="","",SUM(F59:L59))</x:f>
      </x:c>
      <x:c r="N59" s="13" t="str"/>
      <x:c r="O59" s="18"/>
      <x:c r="P59" s="13" t="str"/>
      <x:c r="Q59" s="13" t="str"/>
      <x:c r="R59" s="13" t="str"/>
    </x:row>
    <x:row r="60">
      <x:c r="A60" s="18"/>
      <x:c r="B60" s="13" t="str"/>
      <x:c r="C60" s="13" t="str"/>
      <x:c r="D60" s="13" t="str"/>
      <x:c r="E60" s="13" t="str"/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>
        <x:f>IF(C60="","",SUM(F60:L60))</x:f>
      </x:c>
      <x:c r="N60" s="13" t="str"/>
      <x:c r="O60" s="18"/>
      <x:c r="P60" s="13" t="str"/>
      <x:c r="Q60" s="13" t="str"/>
      <x:c r="R60" s="13" t="str"/>
    </x:row>
    <x:row r="61">
      <x:c r="A61" s="18"/>
      <x:c r="B61" s="13" t="str"/>
      <x:c r="C61" s="13" t="str"/>
      <x:c r="D61" s="13" t="str"/>
      <x:c r="E61" s="13" t="str"/>
      <x:c r="F61" s="13" t="str"/>
      <x:c r="G61" s="13" t="str"/>
      <x:c r="H61" s="13" t="str"/>
      <x:c r="I61" s="13" t="str"/>
      <x:c r="J61" s="13" t="str"/>
      <x:c r="K61" s="13" t="str"/>
      <x:c r="L61" s="13" t="str"/>
      <x:c r="M61" s="13" t="str">
        <x:f>IF(C61="","",SUM(F61:L61))</x:f>
      </x:c>
      <x:c r="N61" s="13" t="str"/>
      <x:c r="O61" s="18"/>
      <x:c r="P61" s="13" t="str"/>
      <x:c r="Q61" s="13" t="str"/>
      <x:c r="R61" s="13" t="str"/>
    </x:row>
    <x:row r="62">
      <x:c r="A62" s="18"/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/>
      <x:c r="J62" s="13" t="str"/>
      <x:c r="K62" s="13" t="str"/>
      <x:c r="L62" s="13" t="str"/>
      <x:c r="M62" s="13" t="str">
        <x:f>IF(C62="","",SUM(F62:L62))</x:f>
      </x:c>
      <x:c r="N62" s="13" t="str"/>
      <x:c r="O62" s="18"/>
      <x:c r="P62" s="13" t="str"/>
      <x:c r="Q62" s="13" t="str"/>
      <x:c r="R62" s="13" t="str"/>
    </x:row>
    <x:row r="63">
      <x:c r="A63" s="18"/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>
        <x:f>IF(C63="","",SUM(F63:L63))</x:f>
      </x:c>
      <x:c r="N63" s="13" t="str"/>
      <x:c r="O63" s="18"/>
      <x:c r="P63" s="13" t="str"/>
      <x:c r="Q63" s="13" t="str"/>
      <x:c r="R63" s="13" t="str"/>
    </x:row>
    <x:row r="64">
      <x:c r="A64" s="18"/>
      <x:c r="B64" s="13" t="str"/>
      <x:c r="C64" s="13" t="str"/>
      <x:c r="D64" s="13" t="str"/>
      <x:c r="E64" s="13" t="str"/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>
        <x:f>IF(C64="","",SUM(F64:L64))</x:f>
      </x:c>
      <x:c r="N64" s="13" t="str"/>
      <x:c r="O64" s="18"/>
      <x:c r="P64" s="13" t="str"/>
      <x:c r="Q64" s="13" t="str"/>
      <x:c r="R64" s="13" t="str"/>
    </x:row>
    <x:row r="65">
      <x:c r="A65" s="18"/>
      <x:c r="B65" s="13" t="str"/>
      <x:c r="C65" s="13" t="str"/>
      <x:c r="D65" s="13" t="str"/>
      <x:c r="E65" s="13" t="str"/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>
        <x:f>IF(C65="","",SUM(F65:L65))</x:f>
      </x:c>
      <x:c r="N65" s="13" t="str"/>
      <x:c r="O65" s="18"/>
      <x:c r="P65" s="13" t="str"/>
      <x:c r="Q65" s="13" t="str"/>
      <x:c r="R65" s="13" t="str"/>
    </x:row>
    <x:row r="66">
      <x:c r="A66" s="18"/>
      <x:c r="B66" s="13" t="str"/>
      <x:c r="C66" s="13" t="str"/>
      <x:c r="D66" s="13" t="str"/>
      <x:c r="E66" s="13" t="str"/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>
        <x:f>IF(C66="","",SUM(F66:L66))</x:f>
      </x:c>
      <x:c r="N66" s="13" t="str"/>
      <x:c r="O66" s="18"/>
      <x:c r="P66" s="13" t="str"/>
      <x:c r="Q66" s="13" t="str"/>
      <x:c r="R66" s="13" t="str"/>
    </x:row>
    <x:row r="67">
      <x:c r="A67" s="18"/>
      <x:c r="B67" s="13" t="str"/>
      <x:c r="C67" s="13" t="str"/>
      <x:c r="D67" s="13" t="str"/>
      <x:c r="E67" s="13" t="str"/>
      <x:c r="F67" s="13" t="str"/>
      <x:c r="G67" s="13" t="str"/>
      <x:c r="H67" s="13" t="str"/>
      <x:c r="I67" s="13" t="str"/>
      <x:c r="J67" s="13" t="str"/>
      <x:c r="K67" s="13" t="str"/>
      <x:c r="L67" s="13" t="str"/>
      <x:c r="M67" s="13" t="str">
        <x:f>IF(C67="","",SUM(F67:L67))</x:f>
      </x:c>
      <x:c r="N67" s="13" t="str"/>
      <x:c r="O67" s="18"/>
      <x:c r="P67" s="13" t="str"/>
      <x:c r="Q67" s="13" t="str"/>
      <x:c r="R67" s="13" t="str"/>
    </x:row>
    <x:row r="68">
      <x:c r="A68" s="18"/>
      <x:c r="B68" s="13" t="str"/>
      <x:c r="C68" s="13" t="str"/>
      <x:c r="D68" s="13" t="str"/>
      <x:c r="E68" s="13" t="str"/>
      <x:c r="F68" s="13" t="str"/>
      <x:c r="G68" s="13" t="str"/>
      <x:c r="H68" s="13" t="str"/>
      <x:c r="I68" s="13" t="str"/>
      <x:c r="J68" s="13" t="str"/>
      <x:c r="K68" s="13" t="str"/>
      <x:c r="L68" s="13" t="str"/>
      <x:c r="M68" s="13" t="str">
        <x:f>IF(C68="","",SUM(F68:L68))</x:f>
      </x:c>
      <x:c r="N68" s="13" t="str"/>
      <x:c r="O68" s="18"/>
      <x:c r="P68" s="13" t="str"/>
      <x:c r="Q68" s="13" t="str"/>
      <x:c r="R68" s="13" t="str"/>
    </x:row>
    <x:row r="69">
      <x:c r="A69" s="18"/>
      <x:c r="B69" s="13" t="str"/>
      <x:c r="C69" s="13" t="str"/>
      <x:c r="D69" s="13" t="str"/>
      <x:c r="E69" s="13" t="str"/>
      <x:c r="F69" s="13" t="str"/>
      <x:c r="G69" s="13" t="str"/>
      <x:c r="H69" s="13" t="str"/>
      <x:c r="I69" s="13" t="str"/>
      <x:c r="J69" s="13" t="str"/>
      <x:c r="K69" s="13" t="str"/>
      <x:c r="L69" s="13" t="str"/>
      <x:c r="M69" s="13" t="str">
        <x:f>IF(C69="","",SUM(F69:L69))</x:f>
      </x:c>
      <x:c r="N69" s="13" t="str"/>
      <x:c r="O69" s="18"/>
      <x:c r="P69" s="13" t="str"/>
      <x:c r="Q69" s="13" t="str"/>
      <x:c r="R69" s="13" t="str"/>
    </x:row>
    <x:row r="70">
      <x:c r="A70" s="18"/>
      <x:c r="B70" s="13" t="str"/>
      <x:c r="C70" s="13" t="str"/>
      <x:c r="D70" s="13" t="str"/>
      <x:c r="E70" s="13" t="str"/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>
        <x:f>IF(C70="","",SUM(F70:L70))</x:f>
      </x:c>
      <x:c r="N70" s="13" t="str"/>
      <x:c r="O70" s="18"/>
      <x:c r="P70" s="13" t="str"/>
      <x:c r="Q70" s="13" t="str"/>
      <x:c r="R70" s="13" t="str"/>
    </x:row>
    <x:row r="71">
      <x:c r="A71" s="18"/>
      <x:c r="B71" s="13" t="str"/>
      <x:c r="C71" s="13" t="str"/>
      <x:c r="D71" s="13" t="str"/>
      <x:c r="E71" s="13" t="str"/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>
        <x:f>IF(C71="","",SUM(F71:L71))</x:f>
      </x:c>
      <x:c r="N71" s="13" t="str"/>
      <x:c r="O71" s="18"/>
      <x:c r="P71" s="13" t="str"/>
      <x:c r="Q71" s="13" t="str"/>
      <x:c r="R71" s="13" t="str"/>
    </x:row>
    <x:row r="72">
      <x:c r="A72" s="18"/>
      <x:c r="B72" s="13" t="str"/>
      <x:c r="C72" s="13" t="str"/>
      <x:c r="D72" s="13" t="str"/>
      <x:c r="E72" s="13" t="str"/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>
        <x:f>IF(C72="","",SUM(F72:L72))</x:f>
      </x:c>
      <x:c r="N72" s="13" t="str"/>
      <x:c r="O72" s="18"/>
      <x:c r="P72" s="13" t="str"/>
      <x:c r="Q72" s="13" t="str"/>
      <x:c r="R72" s="13" t="str"/>
    </x:row>
    <x:row r="73">
      <x:c r="A73" s="18"/>
      <x:c r="B73" s="13" t="str"/>
      <x:c r="C73" s="13" t="str"/>
      <x:c r="D73" s="13" t="str"/>
      <x:c r="E73" s="13" t="str"/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>
        <x:f>IF(C73="","",SUM(F73:L73))</x:f>
      </x:c>
      <x:c r="N73" s="13" t="str"/>
      <x:c r="O73" s="18"/>
      <x:c r="P73" s="13" t="str"/>
      <x:c r="Q73" s="13" t="str"/>
      <x:c r="R73" s="13" t="str"/>
    </x:row>
    <x:row r="74">
      <x:c r="A74" s="18"/>
      <x:c r="B74" s="13" t="str"/>
      <x:c r="C74" s="13" t="str"/>
      <x:c r="D74" s="13" t="str"/>
      <x:c r="E74" s="13" t="str"/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>
        <x:f>IF(C74="","",SUM(F74:L74))</x:f>
      </x:c>
      <x:c r="N74" s="13" t="str"/>
      <x:c r="O74" s="18"/>
      <x:c r="P74" s="13" t="str"/>
      <x:c r="Q74" s="13" t="str"/>
      <x:c r="R74" s="13" t="str"/>
    </x:row>
    <x:row r="75">
      <x:c r="A75" s="18"/>
      <x:c r="B75" s="13" t="str"/>
      <x:c r="C75" s="13" t="str"/>
      <x:c r="D75" s="13" t="str"/>
      <x:c r="E75" s="13" t="str"/>
      <x:c r="F75" s="13" t="str"/>
      <x:c r="G75" s="13" t="str"/>
      <x:c r="H75" s="13" t="str"/>
      <x:c r="I75" s="13" t="str"/>
      <x:c r="J75" s="13" t="str"/>
      <x:c r="K75" s="13" t="str"/>
      <x:c r="L75" s="13" t="str"/>
      <x:c r="M75" s="13" t="str">
        <x:f>IF(C75="","",SUM(F75:L75))</x:f>
      </x:c>
      <x:c r="N75" s="13" t="str"/>
      <x:c r="O75" s="18"/>
      <x:c r="P75" s="13" t="str"/>
      <x:c r="Q75" s="13" t="str"/>
      <x:c r="R75" s="13" t="str"/>
    </x:row>
    <x:row r="76">
      <x:c r="A76" s="18"/>
      <x:c r="B76" s="13" t="str"/>
      <x:c r="C76" s="13" t="str"/>
      <x:c r="D76" s="13" t="str"/>
      <x:c r="E76" s="13" t="str"/>
      <x:c r="F76" s="13" t="str"/>
      <x:c r="G76" s="13" t="str"/>
      <x:c r="H76" s="13" t="str"/>
      <x:c r="I76" s="13" t="str"/>
      <x:c r="J76" s="13" t="str"/>
      <x:c r="K76" s="13" t="str"/>
      <x:c r="L76" s="13" t="str"/>
      <x:c r="M76" s="13" t="str">
        <x:f>IF(C76="","",SUM(F76:L76))</x:f>
      </x:c>
      <x:c r="N76" s="13" t="str"/>
      <x:c r="O76" s="18"/>
      <x:c r="P76" s="13" t="str"/>
      <x:c r="Q76" s="13" t="str"/>
      <x:c r="R76" s="13" t="str"/>
    </x:row>
    <x:row r="77">
      <x:c r="A77" s="18"/>
      <x:c r="B77" s="13" t="str"/>
      <x:c r="C77" s="13" t="str"/>
      <x:c r="D77" s="13" t="str"/>
      <x:c r="E77" s="13" t="str"/>
      <x:c r="F77" s="13" t="str"/>
      <x:c r="G77" s="13" t="str"/>
      <x:c r="H77" s="13" t="str"/>
      <x:c r="I77" s="13" t="str"/>
      <x:c r="J77" s="13" t="str"/>
      <x:c r="K77" s="13" t="str"/>
      <x:c r="L77" s="13" t="str"/>
      <x:c r="M77" s="13" t="str">
        <x:f>IF(C77="","",SUM(F77:L77))</x:f>
      </x:c>
      <x:c r="N77" s="13" t="str"/>
      <x:c r="O77" s="18"/>
      <x:c r="P77" s="13" t="str"/>
      <x:c r="Q77" s="13" t="str"/>
      <x:c r="R77" s="13" t="str"/>
    </x:row>
    <x:row r="78">
      <x:c r="A78" s="18"/>
      <x:c r="B78" s="13" t="str"/>
      <x:c r="C78" s="13" t="str"/>
      <x:c r="D78" s="13" t="str"/>
      <x:c r="E78" s="13" t="str"/>
      <x:c r="F78" s="13" t="str"/>
      <x:c r="G78" s="13" t="str"/>
      <x:c r="H78" s="13" t="str"/>
      <x:c r="I78" s="13" t="str"/>
      <x:c r="J78" s="13" t="str"/>
      <x:c r="K78" s="13" t="str"/>
      <x:c r="L78" s="13" t="str"/>
      <x:c r="M78" s="13" t="str">
        <x:f>IF(C78="","",SUM(F78:L78))</x:f>
      </x:c>
      <x:c r="N78" s="13" t="str"/>
      <x:c r="O78" s="18"/>
      <x:c r="P78" s="13" t="str"/>
      <x:c r="Q78" s="13" t="str"/>
      <x:c r="R78" s="13" t="str"/>
    </x:row>
    <x:row r="79">
      <x:c r="A79" s="18"/>
      <x:c r="B79" s="13" t="str"/>
      <x:c r="C79" s="13" t="str"/>
      <x:c r="D79" s="13" t="str"/>
      <x:c r="E79" s="13" t="str"/>
      <x:c r="F79" s="13" t="str"/>
      <x:c r="G79" s="13" t="str"/>
      <x:c r="H79" s="13" t="str"/>
      <x:c r="I79" s="13" t="str"/>
      <x:c r="J79" s="13" t="str"/>
      <x:c r="K79" s="13" t="str"/>
      <x:c r="L79" s="13" t="str"/>
      <x:c r="M79" s="13" t="str">
        <x:f>IF(C79="","",SUM(F79:L79))</x:f>
      </x:c>
      <x:c r="N79" s="13" t="str"/>
      <x:c r="O79" s="18"/>
      <x:c r="P79" s="13" t="str"/>
      <x:c r="Q79" s="13" t="str"/>
      <x:c r="R79" s="13" t="str"/>
    </x:row>
    <x:row r="80">
      <x:c r="A80" s="18"/>
      <x:c r="B80" s="13" t="str"/>
      <x:c r="C80" s="13" t="str"/>
      <x:c r="D80" s="13" t="str"/>
      <x:c r="E80" s="13" t="str"/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>
        <x:f>IF(C80="","",SUM(F80:L80))</x:f>
      </x:c>
      <x:c r="N80" s="13" t="str"/>
      <x:c r="O80" s="18"/>
      <x:c r="P80" s="13" t="str"/>
      <x:c r="Q80" s="13" t="str"/>
      <x:c r="R80" s="13" t="str"/>
    </x:row>
    <x:row r="81">
      <x:c r="A81" s="18"/>
      <x:c r="B81" s="13" t="str"/>
      <x:c r="C81" s="13" t="str"/>
      <x:c r="D81" s="13" t="str"/>
      <x:c r="E81" s="13" t="str"/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>
        <x:f>IF(C81="","",SUM(F81:L81))</x:f>
      </x:c>
      <x:c r="N81" s="13" t="str"/>
      <x:c r="O81" s="18"/>
      <x:c r="P81" s="13" t="str"/>
      <x:c r="Q81" s="13" t="str"/>
      <x:c r="R81" s="13" t="str"/>
    </x:row>
    <x:row r="82">
      <x:c r="A82" s="18"/>
      <x:c r="B82" s="13" t="str"/>
      <x:c r="C82" s="13" t="str"/>
      <x:c r="D82" s="13" t="str"/>
      <x:c r="E82" s="13" t="str"/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>
        <x:f>IF(C82="","",SUM(F82:L82))</x:f>
      </x:c>
      <x:c r="N82" s="13" t="str"/>
      <x:c r="O82" s="18"/>
      <x:c r="P82" s="13" t="str"/>
      <x:c r="Q82" s="13" t="str"/>
      <x:c r="R82" s="13" t="str"/>
    </x:row>
    <x:row r="83">
      <x:c r="A83" s="18"/>
      <x:c r="B83" s="13" t="str"/>
      <x:c r="C83" s="13" t="str"/>
      <x:c r="D83" s="13" t="str"/>
      <x:c r="E83" s="13" t="str"/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>
        <x:f>IF(C83="","",SUM(F83:L83))</x:f>
      </x:c>
      <x:c r="N83" s="13" t="str"/>
      <x:c r="O83" s="18"/>
      <x:c r="P83" s="13" t="str"/>
      <x:c r="Q83" s="13" t="str"/>
      <x:c r="R83" s="13" t="str"/>
    </x:row>
    <x:row r="84">
      <x:c r="A84" s="18"/>
      <x:c r="B84" s="13" t="str"/>
      <x:c r="C84" s="13" t="str"/>
      <x:c r="D84" s="13" t="str"/>
      <x:c r="E84" s="13" t="str"/>
      <x:c r="F84" s="13" t="str"/>
      <x:c r="G84" s="13" t="str"/>
      <x:c r="H84" s="13" t="str"/>
      <x:c r="I84" s="13" t="str"/>
      <x:c r="J84" s="13" t="str"/>
      <x:c r="K84" s="13" t="str"/>
      <x:c r="L84" s="13" t="str"/>
      <x:c r="M84" s="13" t="str">
        <x:f>IF(C84="","",SUM(F84:L84))</x:f>
      </x:c>
      <x:c r="N84" s="13" t="str"/>
      <x:c r="O84" s="18"/>
      <x:c r="P84" s="13" t="str"/>
      <x:c r="Q84" s="13" t="str"/>
      <x:c r="R84" s="13" t="str"/>
    </x:row>
    <x:row r="85">
      <x:c r="A85" s="18"/>
      <x:c r="B85" s="13" t="str"/>
      <x:c r="C85" s="13" t="str"/>
      <x:c r="D85" s="13" t="str"/>
      <x:c r="E85" s="13" t="str"/>
      <x:c r="F85" s="13" t="str"/>
      <x:c r="G85" s="13" t="str"/>
      <x:c r="H85" s="13" t="str"/>
      <x:c r="I85" s="13" t="str"/>
      <x:c r="J85" s="13" t="str"/>
      <x:c r="K85" s="13" t="str"/>
      <x:c r="L85" s="13" t="str"/>
      <x:c r="M85" s="13" t="str">
        <x:f>IF(C85="","",SUM(F85:L85))</x:f>
      </x:c>
      <x:c r="N85" s="13" t="str"/>
      <x:c r="O85" s="18"/>
      <x:c r="P85" s="13" t="str"/>
      <x:c r="Q85" s="13" t="str"/>
      <x:c r="R85" s="13" t="str"/>
    </x:row>
    <x:row r="86">
      <x:c r="A86" s="18"/>
      <x:c r="B86" s="13" t="str"/>
      <x:c r="C86" s="13" t="str"/>
      <x:c r="D86" s="13" t="str"/>
      <x:c r="E86" s="13" t="str"/>
      <x:c r="F86" s="13" t="str"/>
      <x:c r="G86" s="13" t="str"/>
      <x:c r="H86" s="13" t="str"/>
      <x:c r="I86" s="13" t="str"/>
      <x:c r="J86" s="13" t="str"/>
      <x:c r="K86" s="13" t="str"/>
      <x:c r="L86" s="13" t="str"/>
      <x:c r="M86" s="13" t="str">
        <x:f>IF(C86="","",SUM(F86:L86))</x:f>
      </x:c>
      <x:c r="N86" s="13" t="str"/>
      <x:c r="O86" s="18"/>
      <x:c r="P86" s="13" t="str"/>
      <x:c r="Q86" s="13" t="str"/>
      <x:c r="R86" s="13" t="str"/>
    </x:row>
    <x:row r="87">
      <x:c r="A87" s="18"/>
      <x:c r="B87" s="13" t="str"/>
      <x:c r="C87" s="13" t="str"/>
      <x:c r="D87" s="13" t="str"/>
      <x:c r="E87" s="13" t="str"/>
      <x:c r="F87" s="13" t="str"/>
      <x:c r="G87" s="13" t="str"/>
      <x:c r="H87" s="13" t="str"/>
      <x:c r="I87" s="13" t="str"/>
      <x:c r="J87" s="13" t="str"/>
      <x:c r="K87" s="13" t="str"/>
      <x:c r="L87" s="13" t="str"/>
      <x:c r="M87" s="13" t="str">
        <x:f>IF(C87="","",SUM(F87:L87))</x:f>
      </x:c>
      <x:c r="N87" s="13" t="str"/>
      <x:c r="O87" s="18"/>
      <x:c r="P87" s="13" t="str"/>
      <x:c r="Q87" s="13" t="str"/>
      <x:c r="R87" s="13" t="str"/>
    </x:row>
    <x:row r="88">
      <x:c r="A88" s="18"/>
      <x:c r="B88" s="13" t="str"/>
      <x:c r="C88" s="13" t="str"/>
      <x:c r="D88" s="13" t="str"/>
      <x:c r="E88" s="13" t="str"/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>
        <x:f>IF(C88="","",SUM(F88:L88))</x:f>
      </x:c>
      <x:c r="N88" s="13" t="str"/>
      <x:c r="O88" s="18"/>
      <x:c r="P88" s="13" t="str"/>
      <x:c r="Q88" s="13" t="str"/>
      <x:c r="R88" s="13" t="str"/>
    </x:row>
    <x:row r="89">
      <x:c r="A89" s="18"/>
      <x:c r="B89" s="13" t="str"/>
      <x:c r="C89" s="13" t="str"/>
      <x:c r="D89" s="13" t="str"/>
      <x:c r="E89" s="13" t="str"/>
      <x:c r="F89" s="13" t="str"/>
      <x:c r="G89" s="13" t="str"/>
      <x:c r="H89" s="13" t="str"/>
      <x:c r="I89" s="13" t="str"/>
      <x:c r="J89" s="13" t="str"/>
      <x:c r="K89" s="13" t="str"/>
      <x:c r="L89" s="13" t="str"/>
      <x:c r="M89" s="13" t="str">
        <x:f>IF(C89="","",SUM(F89:L89))</x:f>
      </x:c>
      <x:c r="N89" s="13" t="str"/>
      <x:c r="O89" s="18"/>
      <x:c r="P89" s="13" t="str"/>
      <x:c r="Q89" s="13" t="str"/>
      <x:c r="R89" s="13" t="str"/>
    </x:row>
    <x:row r="90">
      <x:c r="A90" s="18"/>
      <x:c r="B90" s="13" t="str"/>
      <x:c r="C90" s="13" t="str"/>
      <x:c r="D90" s="13" t="str"/>
      <x:c r="E90" s="13" t="str"/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>
        <x:f>IF(C90="","",SUM(F90:L90))</x:f>
      </x:c>
      <x:c r="N90" s="13" t="str"/>
      <x:c r="O90" s="18"/>
      <x:c r="P90" s="13" t="str"/>
      <x:c r="Q90" s="13" t="str"/>
      <x:c r="R90" s="13" t="str"/>
    </x:row>
    <x:row r="91">
      <x:c r="A91" s="18"/>
      <x:c r="B91" s="13" t="str"/>
      <x:c r="C91" s="13" t="str"/>
      <x:c r="D91" s="13" t="str"/>
      <x:c r="E91" s="13" t="str"/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>
        <x:f>IF(C91="","",SUM(F91:L91))</x:f>
      </x:c>
      <x:c r="N91" s="13" t="str"/>
      <x:c r="O91" s="18"/>
      <x:c r="P91" s="13" t="str"/>
      <x:c r="Q91" s="13" t="str"/>
      <x:c r="R91" s="13" t="str"/>
    </x:row>
    <x:row r="92">
      <x:c r="A92" s="18"/>
      <x:c r="B92" s="13" t="str"/>
      <x:c r="C92" s="13" t="str"/>
      <x:c r="D92" s="13" t="str"/>
      <x:c r="E92" s="13" t="str"/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>
        <x:f>IF(C92="","",SUM(F92:L92))</x:f>
      </x:c>
      <x:c r="N92" s="13" t="str"/>
      <x:c r="O92" s="18"/>
      <x:c r="P92" s="13" t="str"/>
      <x:c r="Q92" s="13" t="str"/>
      <x:c r="R92" s="13" t="str"/>
    </x:row>
    <x:row r="93">
      <x:c r="A93" s="18"/>
      <x:c r="B93" s="13" t="str"/>
      <x:c r="C93" s="13" t="str"/>
      <x:c r="D93" s="13" t="str"/>
      <x:c r="E93" s="13" t="str"/>
      <x:c r="F93" s="13" t="str"/>
      <x:c r="G93" s="13" t="str"/>
      <x:c r="H93" s="13" t="str"/>
      <x:c r="I93" s="13" t="str"/>
      <x:c r="J93" s="13" t="str"/>
      <x:c r="K93" s="13" t="str"/>
      <x:c r="L93" s="13" t="str"/>
      <x:c r="M93" s="13" t="str">
        <x:f>IF(C93="","",SUM(F93:L93))</x:f>
      </x:c>
      <x:c r="N93" s="13" t="str"/>
      <x:c r="O93" s="18"/>
      <x:c r="P93" s="13" t="str"/>
      <x:c r="Q93" s="13" t="str"/>
      <x:c r="R93" s="13" t="str"/>
    </x:row>
    <x:row r="94">
      <x:c r="A94" s="18"/>
      <x:c r="B94" s="13" t="str"/>
      <x:c r="C94" s="13" t="str"/>
      <x:c r="D94" s="13" t="str"/>
      <x:c r="E94" s="13" t="str"/>
      <x:c r="F94" s="13" t="str"/>
      <x:c r="G94" s="13" t="str"/>
      <x:c r="H94" s="13" t="str"/>
      <x:c r="I94" s="13" t="str"/>
      <x:c r="J94" s="13" t="str"/>
      <x:c r="K94" s="13" t="str"/>
      <x:c r="L94" s="13" t="str"/>
      <x:c r="M94" s="13" t="str">
        <x:f>IF(C94="","",SUM(F94:L94))</x:f>
      </x:c>
      <x:c r="N94" s="13" t="str"/>
      <x:c r="O94" s="18"/>
      <x:c r="P94" s="13" t="str"/>
      <x:c r="Q94" s="13" t="str"/>
      <x:c r="R94" s="13" t="str"/>
    </x:row>
    <x:row r="95">
      <x:c r="A95" s="18"/>
      <x:c r="B95" s="13" t="str"/>
      <x:c r="C95" s="13" t="str"/>
      <x:c r="D95" s="13" t="str"/>
      <x:c r="E95" s="13" t="str"/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>
        <x:f>IF(C95="","",SUM(F95:L95))</x:f>
      </x:c>
      <x:c r="N95" s="13" t="str"/>
      <x:c r="O95" s="18"/>
      <x:c r="P95" s="13" t="str"/>
      <x:c r="Q95" s="13" t="str"/>
      <x:c r="R95" s="13" t="str"/>
    </x:row>
    <x:row r="96">
      <x:c r="A96" s="18"/>
      <x:c r="B96" s="13" t="str"/>
      <x:c r="C96" s="13" t="str"/>
      <x:c r="D96" s="13" t="str"/>
      <x:c r="E96" s="13" t="str"/>
      <x:c r="F96" s="13" t="str"/>
      <x:c r="G96" s="13" t="str"/>
      <x:c r="H96" s="13" t="str"/>
      <x:c r="I96" s="13" t="str"/>
      <x:c r="J96" s="13" t="str"/>
      <x:c r="K96" s="13" t="str"/>
      <x:c r="L96" s="13" t="str"/>
      <x:c r="M96" s="13" t="str">
        <x:f>IF(C96="","",SUM(F96:L96))</x:f>
      </x:c>
      <x:c r="N96" s="13" t="str"/>
      <x:c r="O96" s="18"/>
      <x:c r="P96" s="13" t="str"/>
      <x:c r="Q96" s="13" t="str"/>
      <x:c r="R96" s="13" t="str"/>
    </x:row>
    <x:row r="97">
      <x:c r="A97" s="18"/>
      <x:c r="B97" s="13" t="str"/>
      <x:c r="C97" s="13" t="str"/>
      <x:c r="D97" s="13" t="str"/>
      <x:c r="E97" s="13" t="str"/>
      <x:c r="F97" s="13" t="str"/>
      <x:c r="G97" s="13" t="str"/>
      <x:c r="H97" s="13" t="str"/>
      <x:c r="I97" s="13" t="str"/>
      <x:c r="J97" s="13" t="str"/>
      <x:c r="K97" s="13" t="str"/>
      <x:c r="L97" s="13" t="str"/>
      <x:c r="M97" s="13" t="str">
        <x:f>IF(C97="","",SUM(F97:L97))</x:f>
      </x:c>
      <x:c r="N97" s="13" t="str"/>
      <x:c r="O97" s="18"/>
      <x:c r="P97" s="13" t="str"/>
      <x:c r="Q97" s="13" t="str"/>
      <x:c r="R97" s="13" t="str"/>
    </x:row>
    <x:row r="98">
      <x:c r="A98" s="18"/>
      <x:c r="B98" s="13" t="str"/>
      <x:c r="C98" s="13" t="str"/>
      <x:c r="D98" s="13" t="str"/>
      <x:c r="E98" s="13" t="str"/>
      <x:c r="F98" s="13" t="str"/>
      <x:c r="G98" s="13" t="str"/>
      <x:c r="H98" s="13" t="str"/>
      <x:c r="I98" s="13" t="str"/>
      <x:c r="J98" s="13" t="str"/>
      <x:c r="K98" s="13" t="str"/>
      <x:c r="L98" s="13" t="str"/>
      <x:c r="M98" s="13" t="str">
        <x:f>IF(C98="","",SUM(F98:L98))</x:f>
      </x:c>
      <x:c r="N98" s="13" t="str"/>
      <x:c r="O98" s="18"/>
      <x:c r="P98" s="13" t="str"/>
      <x:c r="Q98" s="13" t="str"/>
      <x:c r="R98" s="13" t="str"/>
    </x:row>
    <x:row r="99">
      <x:c r="A99" s="18"/>
      <x:c r="B99" s="13" t="str"/>
      <x:c r="C99" s="13" t="str"/>
      <x:c r="D99" s="13" t="str"/>
      <x:c r="E99" s="13" t="str"/>
      <x:c r="F99" s="13" t="str"/>
      <x:c r="G99" s="13" t="str"/>
      <x:c r="H99" s="13" t="str"/>
      <x:c r="I99" s="13" t="str"/>
      <x:c r="J99" s="13" t="str"/>
      <x:c r="K99" s="13" t="str"/>
      <x:c r="L99" s="13" t="str"/>
      <x:c r="M99" s="13" t="str">
        <x:f>IF(C99="","",SUM(F99:L99))</x:f>
      </x:c>
      <x:c r="N99" s="13" t="str"/>
      <x:c r="O99" s="18"/>
      <x:c r="P99" s="13" t="str"/>
      <x:c r="Q99" s="13" t="str"/>
      <x:c r="R99" s="13" t="str"/>
    </x:row>
    <x:row r="100">
      <x:c r="A100" s="18"/>
      <x:c r="B100" s="13" t="str"/>
      <x:c r="C100" s="13" t="str"/>
      <x:c r="D100" s="13" t="str"/>
      <x:c r="E100" s="13" t="str"/>
      <x:c r="F100" s="13" t="str"/>
      <x:c r="G100" s="13" t="str"/>
      <x:c r="H100" s="13" t="str"/>
      <x:c r="I100" s="13" t="str"/>
      <x:c r="J100" s="13" t="str"/>
      <x:c r="K100" s="13" t="str"/>
      <x:c r="L100" s="13" t="str"/>
      <x:c r="M100" s="13" t="str">
        <x:f>IF(C100="","",SUM(F100:L100))</x:f>
      </x:c>
      <x:c r="N100" s="13" t="str"/>
      <x:c r="O100" s="18"/>
      <x:c r="P100" s="13" t="str"/>
      <x:c r="Q100" s="13" t="str"/>
      <x:c r="R100" s="13" t="str"/>
    </x:row>
    <x:row r="101">
      <x:c r="A101" s="18"/>
      <x:c r="B101" s="13" t="str"/>
      <x:c r="C101" s="13" t="str"/>
      <x:c r="D101" s="13" t="str"/>
      <x:c r="E101" s="13" t="str"/>
      <x:c r="F101" s="13" t="str"/>
      <x:c r="G101" s="13" t="str"/>
      <x:c r="H101" s="13" t="str"/>
      <x:c r="I101" s="13" t="str"/>
      <x:c r="J101" s="13" t="str"/>
      <x:c r="K101" s="13" t="str"/>
      <x:c r="L101" s="13" t="str"/>
      <x:c r="M101" s="13" t="str">
        <x:f>IF(C101="","",SUM(F101:L101))</x:f>
      </x:c>
      <x:c r="N101" s="13" t="str"/>
      <x:c r="O101" s="18"/>
      <x:c r="P101" s="13" t="str"/>
      <x:c r="Q101" s="13" t="str"/>
      <x:c r="R101" s="13" t="str"/>
    </x:row>
    <x:row r="102">
      <x:c r="A102" s="18"/>
      <x:c r="B102" s="13" t="str"/>
      <x:c r="C102" s="13" t="str"/>
      <x:c r="D102" s="13" t="str"/>
      <x:c r="E102" s="13" t="str"/>
      <x:c r="F102" s="13" t="str"/>
      <x:c r="G102" s="13" t="str"/>
      <x:c r="H102" s="13" t="str"/>
      <x:c r="I102" s="13" t="str"/>
      <x:c r="J102" s="13" t="str"/>
      <x:c r="K102" s="13" t="str"/>
      <x:c r="L102" s="13" t="str"/>
      <x:c r="M102" s="13" t="str">
        <x:f>IF(C102="","",SUM(F102:L102))</x:f>
      </x:c>
      <x:c r="N102" s="13" t="str"/>
      <x:c r="O102" s="18"/>
      <x:c r="P102" s="13" t="str"/>
      <x:c r="Q102" s="13" t="str"/>
      <x:c r="R102" s="13" t="str"/>
    </x:row>
    <x:row r="103">
      <x:c r="A103" s="18"/>
      <x:c r="B103" s="13" t="str"/>
      <x:c r="C103" s="13" t="str"/>
      <x:c r="D103" s="13" t="str"/>
      <x:c r="E103" s="13" t="str"/>
      <x:c r="F103" s="13" t="str"/>
      <x:c r="G103" s="13" t="str"/>
      <x:c r="H103" s="13" t="str"/>
      <x:c r="I103" s="13" t="str"/>
      <x:c r="J103" s="13" t="str"/>
      <x:c r="K103" s="13" t="str"/>
      <x:c r="L103" s="13" t="str"/>
      <x:c r="M103" s="13" t="str">
        <x:f>IF(C103="","",SUM(F103:L103))</x:f>
      </x:c>
      <x:c r="N103" s="13" t="str"/>
      <x:c r="O103" s="18"/>
      <x:c r="P103" s="13" t="str"/>
      <x:c r="Q103" s="13" t="str"/>
      <x:c r="R103" s="13" t="str"/>
    </x:row>
    <x:row r="104">
      <x:c r="A104" s="18"/>
      <x:c r="B104" s="13" t="str"/>
      <x:c r="C104" s="13" t="str"/>
      <x:c r="D104" s="13" t="str"/>
      <x:c r="E104" s="13" t="str"/>
      <x:c r="F104" s="13" t="str"/>
      <x:c r="G104" s="13" t="str"/>
      <x:c r="H104" s="13" t="str"/>
      <x:c r="I104" s="13" t="str"/>
      <x:c r="J104" s="13" t="str"/>
      <x:c r="K104" s="13" t="str"/>
      <x:c r="L104" s="13" t="str"/>
      <x:c r="M104" s="13" t="str">
        <x:f>IF(C104="","",SUM(F104:L104))</x:f>
      </x:c>
      <x:c r="N104" s="13" t="str"/>
      <x:c r="O104" s="18"/>
      <x:c r="P104" s="13" t="str"/>
      <x:c r="Q104" s="13" t="str"/>
      <x:c r="R104" s="13" t="str"/>
    </x:row>
    <x:row r="105">
      <x:c r="A105" s="18"/>
      <x:c r="B105" s="13" t="str"/>
      <x:c r="C105" s="13" t="str"/>
      <x:c r="D105" s="13" t="str"/>
      <x:c r="E105" s="13" t="str"/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>
        <x:f>IF(C105="","",SUM(F105:L105))</x:f>
      </x:c>
      <x:c r="N105" s="13" t="str"/>
      <x:c r="O105" s="18"/>
      <x:c r="P105" s="13" t="str"/>
      <x:c r="Q105" s="13" t="str"/>
      <x:c r="R105" s="13" t="str"/>
    </x:row>
    <x:row r="106">
      <x:c r="A106" s="18"/>
      <x:c r="B106" s="13" t="str"/>
      <x:c r="C106" s="13" t="str"/>
      <x:c r="D106" s="13" t="str"/>
      <x:c r="E106" s="13" t="str"/>
      <x:c r="F106" s="13" t="str"/>
      <x:c r="G106" s="13" t="str"/>
      <x:c r="H106" s="13" t="str"/>
      <x:c r="I106" s="13" t="str"/>
      <x:c r="J106" s="13" t="str"/>
      <x:c r="K106" s="13" t="str"/>
      <x:c r="L106" s="13" t="str"/>
      <x:c r="M106" s="13" t="str">
        <x:f>IF(C106="","",SUM(F106:L106))</x:f>
      </x:c>
      <x:c r="N106" s="13" t="str"/>
      <x:c r="O106" s="18"/>
      <x:c r="P106" s="13" t="str"/>
      <x:c r="Q106" s="13" t="str"/>
      <x:c r="R106" s="13" t="str"/>
    </x:row>
    <x:row r="107">
      <x:c r="A107" s="18"/>
      <x:c r="B107" s="13" t="str"/>
      <x:c r="C107" s="13" t="str"/>
      <x:c r="D107" s="13" t="str"/>
      <x:c r="E107" s="13" t="str"/>
      <x:c r="F107" s="13" t="str"/>
      <x:c r="G107" s="13" t="str"/>
      <x:c r="H107" s="13" t="str"/>
      <x:c r="I107" s="13" t="str"/>
      <x:c r="J107" s="13" t="str"/>
      <x:c r="K107" s="13" t="str"/>
      <x:c r="L107" s="13" t="str"/>
      <x:c r="M107" s="13" t="str">
        <x:f>IF(C107="","",SUM(F107:L107))</x:f>
      </x:c>
      <x:c r="N107" s="13" t="str"/>
      <x:c r="O107" s="18"/>
      <x:c r="P107" s="13" t="str"/>
      <x:c r="Q107" s="13" t="str"/>
      <x:c r="R107" s="13" t="str"/>
    </x:row>
    <x:row r="108">
      <x:c r="A108" s="18"/>
      <x:c r="B108" s="13" t="str"/>
      <x:c r="C108" s="13" t="str"/>
      <x:c r="D108" s="13" t="str"/>
      <x:c r="E108" s="13" t="str"/>
      <x:c r="F108" s="13" t="str"/>
      <x:c r="G108" s="13" t="str"/>
      <x:c r="H108" s="13" t="str"/>
      <x:c r="I108" s="13" t="str"/>
      <x:c r="J108" s="13" t="str"/>
      <x:c r="K108" s="13" t="str"/>
      <x:c r="L108" s="13" t="str"/>
      <x:c r="M108" s="13" t="str">
        <x:f>IF(C108="","",SUM(F108:L108))</x:f>
      </x:c>
      <x:c r="N108" s="13" t="str"/>
      <x:c r="O108" s="18"/>
      <x:c r="P108" s="13" t="str"/>
      <x:c r="Q108" s="13" t="str"/>
      <x:c r="R108" s="13" t="str"/>
    </x:row>
    <x:row r="109">
      <x:c r="A109" s="18"/>
      <x:c r="B109" s="13" t="str"/>
      <x:c r="C109" s="13" t="str"/>
      <x:c r="D109" s="13" t="str"/>
      <x:c r="E109" s="13" t="str"/>
      <x:c r="F109" s="13" t="str"/>
      <x:c r="G109" s="13" t="str"/>
      <x:c r="H109" s="13" t="str"/>
      <x:c r="I109" s="13" t="str"/>
      <x:c r="J109" s="13" t="str"/>
      <x:c r="K109" s="13" t="str"/>
      <x:c r="L109" s="13" t="str"/>
      <x:c r="M109" s="13" t="str">
        <x:f>IF(C109="","",SUM(F109:L109))</x:f>
      </x:c>
      <x:c r="N109" s="13" t="str"/>
      <x:c r="O109" s="18"/>
      <x:c r="P109" s="13" t="str"/>
      <x:c r="Q109" s="13" t="str"/>
      <x:c r="R109" s="13" t="str"/>
    </x:row>
    <x:row r="110">
      <x:c r="A110" s="18"/>
      <x:c r="B110" s="13" t="str"/>
      <x:c r="C110" s="13" t="str"/>
      <x:c r="D110" s="13" t="str"/>
      <x:c r="E110" s="13" t="str"/>
      <x:c r="F110" s="13" t="str"/>
      <x:c r="G110" s="13" t="str"/>
      <x:c r="H110" s="13" t="str"/>
      <x:c r="I110" s="13" t="str"/>
      <x:c r="J110" s="13" t="str"/>
      <x:c r="K110" s="13" t="str"/>
      <x:c r="L110" s="13" t="str"/>
      <x:c r="M110" s="13" t="str">
        <x:f>IF(C110="","",SUM(F110:L110))</x:f>
      </x:c>
      <x:c r="N110" s="13" t="str"/>
      <x:c r="O110" s="18"/>
      <x:c r="P110" s="13" t="str"/>
      <x:c r="Q110" s="13" t="str"/>
      <x:c r="R110" s="13" t="str"/>
    </x:row>
    <x:row r="111">
      <x:c r="A111" s="18"/>
      <x:c r="B111" s="13" t="str"/>
      <x:c r="C111" s="13" t="str"/>
      <x:c r="D111" s="13" t="str"/>
      <x:c r="E111" s="13" t="str"/>
      <x:c r="F111" s="13" t="str"/>
      <x:c r="G111" s="13" t="str"/>
      <x:c r="H111" s="13" t="str"/>
      <x:c r="I111" s="13" t="str"/>
      <x:c r="J111" s="13" t="str"/>
      <x:c r="K111" s="13" t="str"/>
      <x:c r="L111" s="13" t="str"/>
      <x:c r="M111" s="13" t="str">
        <x:f>IF(C111="","",SUM(F111:L111))</x:f>
      </x:c>
      <x:c r="N111" s="13" t="str"/>
      <x:c r="O111" s="18"/>
      <x:c r="P111" s="13" t="str"/>
      <x:c r="Q111" s="13" t="str"/>
      <x:c r="R111" s="13" t="str"/>
    </x:row>
    <x:row r="112">
      <x:c r="A112" s="18"/>
      <x:c r="B112" s="13" t="str"/>
      <x:c r="C112" s="13" t="str"/>
      <x:c r="D112" s="13" t="str"/>
      <x:c r="E112" s="13" t="str"/>
      <x:c r="F112" s="13" t="str"/>
      <x:c r="G112" s="13" t="str"/>
      <x:c r="H112" s="13" t="str"/>
      <x:c r="I112" s="13" t="str"/>
      <x:c r="J112" s="13" t="str"/>
      <x:c r="K112" s="13" t="str"/>
      <x:c r="L112" s="13" t="str"/>
      <x:c r="M112" s="13" t="str">
        <x:f>IF(C112="","",SUM(F112:L112))</x:f>
      </x:c>
      <x:c r="N112" s="13" t="str"/>
      <x:c r="O112" s="18"/>
      <x:c r="P112" s="13" t="str"/>
      <x:c r="Q112" s="13" t="str"/>
      <x:c r="R112" s="13" t="str"/>
    </x:row>
    <x:row r="113">
      <x:c r="A113" s="18"/>
      <x:c r="B113" s="13" t="str"/>
      <x:c r="C113" s="13" t="str"/>
      <x:c r="D113" s="13" t="str"/>
      <x:c r="E113" s="13" t="str"/>
      <x:c r="F113" s="13" t="str"/>
      <x:c r="G113" s="13" t="str"/>
      <x:c r="H113" s="13" t="str"/>
      <x:c r="I113" s="13" t="str"/>
      <x:c r="J113" s="13" t="str"/>
      <x:c r="K113" s="13" t="str"/>
      <x:c r="L113" s="13" t="str"/>
      <x:c r="M113" s="13" t="str">
        <x:f>IF(C113="","",SUM(F113:L113))</x:f>
      </x:c>
      <x:c r="N113" s="13" t="str"/>
      <x:c r="O113" s="18"/>
      <x:c r="P113" s="13" t="str"/>
      <x:c r="Q113" s="13" t="str"/>
      <x:c r="R113" s="13" t="str"/>
    </x:row>
    <x:row r="114">
      <x:c r="A114" s="18"/>
      <x:c r="B114" s="13" t="str"/>
      <x:c r="C114" s="13" t="str"/>
      <x:c r="D114" s="13" t="str"/>
      <x:c r="E114" s="13" t="str"/>
      <x:c r="F114" s="13" t="str"/>
      <x:c r="G114" s="13" t="str"/>
      <x:c r="H114" s="13" t="str"/>
      <x:c r="I114" s="13" t="str"/>
      <x:c r="J114" s="13" t="str"/>
      <x:c r="K114" s="13" t="str"/>
      <x:c r="L114" s="13" t="str"/>
      <x:c r="M114" s="13" t="str">
        <x:f>IF(C114="","",SUM(F114:L114))</x:f>
      </x:c>
      <x:c r="N114" s="13" t="str"/>
      <x:c r="O114" s="18"/>
      <x:c r="P114" s="13" t="str"/>
      <x:c r="Q114" s="13" t="str"/>
      <x:c r="R114" s="13" t="str"/>
    </x:row>
    <x:row r="115">
      <x:c r="A115" s="18"/>
      <x:c r="B115" s="13" t="str"/>
      <x:c r="C115" s="13" t="str"/>
      <x:c r="D115" s="13" t="str"/>
      <x:c r="E115" s="13" t="str"/>
      <x:c r="F115" s="13" t="str"/>
      <x:c r="G115" s="13" t="str"/>
      <x:c r="H115" s="13" t="str"/>
      <x:c r="I115" s="13" t="str"/>
      <x:c r="J115" s="13" t="str"/>
      <x:c r="K115" s="13" t="str"/>
      <x:c r="L115" s="13" t="str"/>
      <x:c r="M115" s="13" t="str">
        <x:f>IF(C115="","",SUM(F115:L115))</x:f>
      </x:c>
      <x:c r="N115" s="13" t="str"/>
      <x:c r="O115" s="18"/>
      <x:c r="P115" s="13" t="str"/>
      <x:c r="Q115" s="13" t="str"/>
      <x:c r="R115" s="13" t="str"/>
    </x:row>
    <x:row r="116">
      <x:c r="A116" s="18"/>
      <x:c r="B116" s="13" t="str"/>
      <x:c r="C116" s="13" t="str"/>
      <x:c r="D116" s="13" t="str"/>
      <x:c r="E116" s="13" t="str"/>
      <x:c r="F116" s="13" t="str"/>
      <x:c r="G116" s="13" t="str"/>
      <x:c r="H116" s="13" t="str"/>
      <x:c r="I116" s="13" t="str"/>
      <x:c r="J116" s="13" t="str"/>
      <x:c r="K116" s="13" t="str"/>
      <x:c r="L116" s="13" t="str"/>
      <x:c r="M116" s="13" t="str">
        <x:f>IF(C116="","",SUM(F116:L116))</x:f>
      </x:c>
      <x:c r="N116" s="13" t="str"/>
      <x:c r="O116" s="18"/>
      <x:c r="P116" s="13" t="str"/>
      <x:c r="Q116" s="13" t="str"/>
      <x:c r="R116" s="13" t="str"/>
    </x:row>
    <x:row r="117">
      <x:c r="A117" s="18"/>
      <x:c r="B117" s="13" t="str"/>
      <x:c r="C117" s="13" t="str"/>
      <x:c r="D117" s="13" t="str"/>
      <x:c r="E117" s="13" t="str"/>
      <x:c r="F117" s="13" t="str"/>
      <x:c r="G117" s="13" t="str"/>
      <x:c r="H117" s="13" t="str"/>
      <x:c r="I117" s="13" t="str"/>
      <x:c r="J117" s="13" t="str"/>
      <x:c r="K117" s="13" t="str"/>
      <x:c r="L117" s="13" t="str"/>
      <x:c r="M117" s="13" t="str">
        <x:f>IF(C117="","",SUM(F117:L117))</x:f>
      </x:c>
      <x:c r="N117" s="13" t="str"/>
      <x:c r="O117" s="18"/>
      <x:c r="P117" s="13" t="str"/>
      <x:c r="Q117" s="13" t="str"/>
      <x:c r="R117" s="13" t="str"/>
    </x:row>
    <x:row r="118">
      <x:c r="A118" s="18"/>
      <x:c r="B118" s="13" t="str"/>
      <x:c r="C118" s="13" t="str"/>
      <x:c r="D118" s="13" t="str"/>
      <x:c r="E118" s="13" t="str"/>
      <x:c r="F118" s="13" t="str"/>
      <x:c r="G118" s="13" t="str"/>
      <x:c r="H118" s="13" t="str"/>
      <x:c r="I118" s="13" t="str"/>
      <x:c r="J118" s="13" t="str"/>
      <x:c r="K118" s="13" t="str"/>
      <x:c r="L118" s="13" t="str"/>
      <x:c r="M118" s="13" t="str">
        <x:f>IF(C118="","",SUM(F118:L118))</x:f>
      </x:c>
      <x:c r="N118" s="13" t="str"/>
      <x:c r="O118" s="18"/>
      <x:c r="P118" s="13" t="str"/>
      <x:c r="Q118" s="13" t="str"/>
      <x:c r="R118" s="13" t="str"/>
    </x:row>
    <x:row r="119">
      <x:c r="A119" s="18"/>
      <x:c r="B119" s="13" t="str"/>
      <x:c r="C119" s="13" t="str"/>
      <x:c r="D119" s="13" t="str"/>
      <x:c r="E119" s="13" t="str"/>
      <x:c r="F119" s="13" t="str"/>
      <x:c r="G119" s="13" t="str"/>
      <x:c r="H119" s="13" t="str"/>
      <x:c r="I119" s="13" t="str"/>
      <x:c r="J119" s="13" t="str"/>
      <x:c r="K119" s="13" t="str"/>
      <x:c r="L119" s="13" t="str"/>
      <x:c r="M119" s="13" t="str">
        <x:f>IF(C119="","",SUM(F119:L119))</x:f>
      </x:c>
      <x:c r="N119" s="13" t="str"/>
      <x:c r="O119" s="18"/>
      <x:c r="P119" s="13" t="str"/>
      <x:c r="Q119" s="13" t="str"/>
      <x:c r="R119" s="13" t="str"/>
    </x:row>
    <x:row r="120">
      <x:c r="A120" s="18"/>
      <x:c r="B120" s="13" t="str"/>
      <x:c r="C120" s="13" t="str"/>
      <x:c r="D120" s="13" t="str"/>
      <x:c r="E120" s="13" t="str"/>
      <x:c r="F120" s="13" t="str"/>
      <x:c r="G120" s="13" t="str"/>
      <x:c r="H120" s="13" t="str"/>
      <x:c r="I120" s="13" t="str"/>
      <x:c r="J120" s="13" t="str"/>
      <x:c r="K120" s="13" t="str"/>
      <x:c r="L120" s="13" t="str"/>
      <x:c r="M120" s="13" t="str">
        <x:f>IF(C120="","",SUM(F120:L120))</x:f>
      </x:c>
      <x:c r="N120" s="13" t="str"/>
      <x:c r="O120" s="18"/>
      <x:c r="P120" s="13" t="str"/>
      <x:c r="Q120" s="13" t="str"/>
      <x:c r="R120" s="13" t="str"/>
    </x:row>
    <x:row r="121">
      <x:c r="A121" s="18"/>
      <x:c r="B121" s="13" t="str"/>
      <x:c r="C121" s="13" t="str"/>
      <x:c r="D121" s="13" t="str"/>
      <x:c r="E121" s="13" t="str"/>
      <x:c r="F121" s="13" t="str"/>
      <x:c r="G121" s="13" t="str"/>
      <x:c r="H121" s="13" t="str"/>
      <x:c r="I121" s="13" t="str"/>
      <x:c r="J121" s="13" t="str"/>
      <x:c r="K121" s="13" t="str"/>
      <x:c r="L121" s="13" t="str"/>
      <x:c r="M121" s="13" t="str">
        <x:f>IF(C121="","",SUM(F121:L121))</x:f>
      </x:c>
      <x:c r="N121" s="13" t="str"/>
      <x:c r="O121" s="18"/>
      <x:c r="P121" s="13" t="str"/>
      <x:c r="Q121" s="13" t="str"/>
      <x:c r="R121" s="13" t="str"/>
    </x:row>
    <x:row r="122">
      <x:c r="A122" s="18"/>
      <x:c r="B122" s="13" t="str"/>
      <x:c r="C122" s="13" t="str"/>
      <x:c r="D122" s="13" t="str"/>
      <x:c r="E122" s="13" t="str"/>
      <x:c r="F122" s="13" t="str"/>
      <x:c r="G122" s="13" t="str"/>
      <x:c r="H122" s="13" t="str"/>
      <x:c r="I122" s="13" t="str"/>
      <x:c r="J122" s="13" t="str"/>
      <x:c r="K122" s="13" t="str"/>
      <x:c r="L122" s="13" t="str"/>
      <x:c r="M122" s="13" t="str">
        <x:f>IF(C122="","",SUM(F122:L122))</x:f>
      </x:c>
      <x:c r="N122" s="13" t="str"/>
      <x:c r="O122" s="18"/>
      <x:c r="P122" s="13" t="str"/>
      <x:c r="Q122" s="13" t="str"/>
      <x:c r="R122" s="13" t="str"/>
    </x:row>
    <x:row r="123">
      <x:c r="A123" s="18"/>
      <x:c r="B123" s="13" t="str"/>
      <x:c r="C123" s="13" t="str"/>
      <x:c r="D123" s="13" t="str"/>
      <x:c r="E123" s="13" t="str"/>
      <x:c r="F123" s="13" t="str"/>
      <x:c r="G123" s="13" t="str"/>
      <x:c r="H123" s="13" t="str"/>
      <x:c r="I123" s="13" t="str"/>
      <x:c r="J123" s="13" t="str"/>
      <x:c r="K123" s="13" t="str"/>
      <x:c r="L123" s="13" t="str"/>
      <x:c r="M123" s="13" t="str">
        <x:f>IF(C123="","",SUM(F123:L123))</x:f>
      </x:c>
      <x:c r="N123" s="13" t="str"/>
      <x:c r="O123" s="18"/>
      <x:c r="P123" s="13" t="str"/>
      <x:c r="Q123" s="13" t="str"/>
      <x:c r="R123" s="13" t="str"/>
    </x:row>
    <x:row r="124">
      <x:c r="A124" s="18"/>
      <x:c r="B124" s="13" t="str"/>
      <x:c r="C124" s="13" t="str"/>
      <x:c r="D124" s="13" t="str"/>
      <x:c r="E124" s="13" t="str"/>
      <x:c r="F124" s="13" t="str"/>
      <x:c r="G124" s="13" t="str"/>
      <x:c r="H124" s="13" t="str"/>
      <x:c r="I124" s="13" t="str"/>
      <x:c r="J124" s="13" t="str"/>
      <x:c r="K124" s="13" t="str"/>
      <x:c r="L124" s="13" t="str"/>
      <x:c r="M124" s="13" t="str">
        <x:f>IF(C124="","",SUM(F124:L124))</x:f>
      </x:c>
      <x:c r="N124" s="13" t="str"/>
      <x:c r="O124" s="18"/>
      <x:c r="P124" s="13" t="str"/>
      <x:c r="Q124" s="13" t="str"/>
      <x:c r="R124" s="13" t="str"/>
    </x:row>
    <x:row r="125">
      <x:c r="A125" s="18"/>
      <x:c r="B125" s="13" t="str"/>
      <x:c r="C125" s="13" t="str"/>
      <x:c r="D125" s="13" t="str"/>
      <x:c r="E125" s="13" t="str"/>
      <x:c r="F125" s="13" t="str"/>
      <x:c r="G125" s="13" t="str"/>
      <x:c r="H125" s="13" t="str"/>
      <x:c r="I125" s="13" t="str"/>
      <x:c r="J125" s="13" t="str"/>
      <x:c r="K125" s="13" t="str"/>
      <x:c r="L125" s="13" t="str"/>
      <x:c r="M125" s="13" t="str">
        <x:f>IF(C125="","",SUM(F125:L125))</x:f>
      </x:c>
      <x:c r="N125" s="13" t="str"/>
      <x:c r="O125" s="18"/>
      <x:c r="P125" s="13" t="str"/>
      <x:c r="Q125" s="13" t="str"/>
      <x:c r="R125" s="13" t="str"/>
    </x:row>
  </x:sheetData>
  <x:mergeCells>
    <x:mergeCell ref="A1:Q1"/>
    <x:mergeCell ref="A2:Q2"/>
  </x:mergeCells>
  <x:dataValidations count="10">
    <x:dataValidation type="list" sqref="D6:D125">
      <x:formula1>"A1,A2,B1,B2,C,Watchlist"</x:formula1>
    </x:dataValidation>
    <x:dataValidation type="list" sqref="E6:E125">
      <x:formula1>"Unity Technical Artist,Unity WebGL,Technical Visualization,XR/Simulation,Python/AI Tooling,3D/Blender,Marketing-adjacent"</x:formula1>
    </x:dataValidation>
    <x:dataValidation type="whole" operator="between" sqref="F6:F125">
      <x:formula1>0</x:formula1>
      <x:formula2>2</x:formula2>
    </x:dataValidation>
    <x:dataValidation type="whole" operator="between" sqref="G6:G125">
      <x:formula1>0</x:formula1>
      <x:formula2>2</x:formula2>
    </x:dataValidation>
    <x:dataValidation type="whole" operator="between" sqref="H6:H125">
      <x:formula1>0</x:formula1>
      <x:formula2>2</x:formula2>
    </x:dataValidation>
    <x:dataValidation type="whole" operator="between" sqref="I6:I125">
      <x:formula1>0</x:formula1>
      <x:formula2>2</x:formula2>
    </x:dataValidation>
    <x:dataValidation type="whole" operator="between" sqref="J6:J125">
      <x:formula1>0</x:formula1>
      <x:formula2>2</x:formula2>
    </x:dataValidation>
    <x:dataValidation type="whole" operator="between" sqref="K6:K125">
      <x:formula1>0</x:formula1>
      <x:formula2>2</x:formula2>
    </x:dataValidation>
    <x:dataValidation type="whole" operator="between" sqref="L6:L125">
      <x:formula1>0</x:formula1>
      <x:formula2>2</x:formula2>
    </x:dataValidation>
    <x:dataValidation type="list" sqref="N6:N125">
      <x:formula1>"Saved,Applied,Contacted,Interview,Test,Offer,Rejected,No Fit,Paused"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a66ba639e94c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16.25" hidden="0" customWidth="1"/>
    <x:col min="4" max="4" width="32.5" hidden="0" customWidth="1"/>
    <x:col min="5" max="5" width="11.880000114440918" hidden="0" customWidth="1"/>
    <x:col min="6" max="6" width="15" hidden="0" customWidth="1"/>
    <x:col min="7" max="7" width="11.880000114440918" hidden="0" customWidth="1"/>
    <x:col min="8" max="8" width="11.880000114440918" hidden="0" customWidth="1"/>
    <x:col min="9" max="9" width="33.75" hidden="0" customWidth="1"/>
    <x:col min="10" max="10" width="25" hidden="0" customWidth="1"/>
  </x:cols>
  <x:sheetData>
    <x:row r="1">
      <x:c r="A1" s="3" t="str">
        <x:v>Assets Closure</x:v>
      </x:c>
      <x:c r="B1" s="3" t="str">
        <x:v>Assets Closure</x:v>
      </x:c>
      <x:c r="C1" s="3" t="str">
        <x:v>Assets Closure</x:v>
      </x:c>
      <x:c r="D1" s="3" t="str">
        <x:v>Assets Closure</x:v>
      </x:c>
      <x:c r="E1" s="3" t="str">
        <x:v>Assets Closure</x:v>
      </x:c>
      <x:c r="F1" s="3" t="str">
        <x:v>Assets Closure</x:v>
      </x:c>
      <x:c r="G1" s="3" t="str">
        <x:v>Assets Closure</x:v>
      </x:c>
      <x:c r="H1" s="3" t="str">
        <x:v>Assets Closure</x:v>
      </x:c>
      <x:c r="I1" s="3" t="str">
        <x:v>Assets Closure</x:v>
      </x:c>
      <x:c r="J1" s="3" t="str">
        <x:v>Assets Closure</x:v>
      </x:c>
    </x:row>
    <x:row r="2">
      <x:c r="A2" s="6" t="str">
        <x:v>Cerrar paquete publico antes de volumen alto de aplicaciones.</x:v>
      </x:c>
      <x:c r="B2" s="6" t="str">
        <x:v>Cerrar paquete publico antes de volumen alto de aplicaciones.</x:v>
      </x:c>
      <x:c r="C2" s="6" t="str">
        <x:v>Cerrar paquete publico antes de volumen alto de aplicaciones.</x:v>
      </x:c>
      <x:c r="D2" s="6" t="str">
        <x:v>Cerrar paquete publico antes de volumen alto de aplicaciones.</x:v>
      </x:c>
      <x:c r="E2" s="6" t="str">
        <x:v>Cerrar paquete publico antes de volumen alto de aplicaciones.</x:v>
      </x:c>
      <x:c r="F2" s="6" t="str">
        <x:v>Cerrar paquete publico antes de volumen alto de aplicaciones.</x:v>
      </x:c>
      <x:c r="G2" s="6" t="str">
        <x:v>Cerrar paquete publico antes de volumen alto de aplicaciones.</x:v>
      </x:c>
      <x:c r="H2" s="6" t="str">
        <x:v>Cerrar paquete publico antes de volumen alto de aplicaciones.</x:v>
      </x:c>
      <x:c r="I2" s="6" t="str">
        <x:v>Cerrar paquete publico antes de volumen alto de aplicaciones.</x:v>
      </x:c>
      <x:c r="J2" s="6" t="str">
        <x:v>Cerrar paquete publico antes de volumen alto de aplicaciones.</x:v>
      </x:c>
    </x:row>
    <x:row r="5">
      <x:c r="A5" s="9" t="str">
        <x:v>Asset</x:v>
      </x:c>
      <x:c r="B5" s="9" t="str">
        <x:v>Priority</x:v>
      </x:c>
      <x:c r="C5" s="9" t="str">
        <x:v>Current State</x:v>
      </x:c>
      <x:c r="D5" s="9" t="str">
        <x:v>Next Action</x:v>
      </x:c>
      <x:c r="E5" s="9" t="str">
        <x:v>Owner</x:v>
      </x:c>
      <x:c r="F5" s="9" t="str">
        <x:v>Status</x:v>
      </x:c>
      <x:c r="G5" s="9" t="str">
        <x:v>Completion %</x:v>
      </x:c>
      <x:c r="H5" s="9" t="str">
        <x:v>Due</x:v>
      </x:c>
      <x:c r="I5" s="9" t="str">
        <x:v>Definition of Done</x:v>
      </x:c>
      <x:c r="J5" s="9" t="str">
        <x:v>Link</x:v>
      </x:c>
    </x:row>
    <x:row r="6">
      <x:c r="A6" s="13" t="str">
        <x:v>TwinSight case study</x:v>
      </x:c>
      <x:c r="B6" s="13" t="str">
        <x:v>High</x:v>
      </x:c>
      <x:c r="C6" s="13" t="str">
        <x:v>In progress</x:v>
      </x:c>
      <x:c r="D6" s="13" t="str">
        <x:v>Complete problem/solution/pipeline/features/metrics</x:v>
      </x:c>
      <x:c r="E6" s="13" t="str">
        <x:v>Alexander</x:v>
      </x:c>
      <x:c r="F6" s="13" t="str">
        <x:v>In Progress</x:v>
      </x:c>
      <x:c r="G6" s="19" t="n">
        <x:v>0.55</x:v>
      </x:c>
      <x:c r="H6" s="18" t="n">
        <x:v>46201</x:v>
      </x:c>
      <x:c r="I6" s="13" t="str">
        <x:v>Readable end-to-end with demo/media</x:v>
      </x:c>
      <x:c r="J6" s="13" t="str"/>
    </x:row>
    <x:row r="7">
      <x:c r="A7" s="13" t="str">
        <x:v>Portfolio web</x:v>
      </x:c>
      <x:c r="B7" s="13" t="str">
        <x:v>High</x:v>
      </x:c>
      <x:c r="C7" s="13" t="str">
        <x:v>In progress</x:v>
      </x:c>
      <x:c r="D7" s="13" t="str">
        <x:v>Finish homepage and TwinSight route</x:v>
      </x:c>
      <x:c r="E7" s="13" t="str">
        <x:v>Alexander</x:v>
      </x:c>
      <x:c r="F7" s="13" t="str">
        <x:v>In Progress</x:v>
      </x:c>
      <x:c r="G7" s="19" t="n">
        <x:v>0.45</x:v>
      </x:c>
      <x:c r="H7" s="18" t="n">
        <x:v>46201</x:v>
      </x:c>
      <x:c r="I7" s="13" t="str">
        <x:v>First viewport communicates role</x:v>
      </x:c>
      <x:c r="J7" s="13" t="str"/>
    </x:row>
    <x:row r="8">
      <x:c r="A8" s="13" t="str">
        <x:v>GitHub</x:v>
      </x:c>
      <x:c r="B8" s="13" t="str">
        <x:v>High</x:v>
      </x:c>
      <x:c r="C8" s="13" t="str">
        <x:v>Pending</x:v>
      </x:c>
      <x:c r="D8" s="13" t="str">
        <x:v>README TwinSight + pinned repos</x:v>
      </x:c>
      <x:c r="E8" s="13" t="str">
        <x:v>Alexander</x:v>
      </x:c>
      <x:c r="F8" s="13" t="str">
        <x:v>Not Started</x:v>
      </x:c>
      <x:c r="G8" s="19" t="n">
        <x:v>0.1</x:v>
      </x:c>
      <x:c r="H8" s="18" t="n">
        <x:v>46208</x:v>
      </x:c>
      <x:c r="I8" s="13" t="str">
        <x:v>Reviewer can understand project</x:v>
      </x:c>
      <x:c r="J8" s="13" t="str"/>
    </x:row>
    <x:row r="9">
      <x:c r="A9" s="13" t="str">
        <x:v>CV Unity TA</x:v>
      </x:c>
      <x:c r="B9" s="13" t="str">
        <x:v>High</x:v>
      </x:c>
      <x:c r="C9" s="13" t="str">
        <x:v>Pending</x:v>
      </x:c>
      <x:c r="D9" s="13" t="str">
        <x:v>One-page CV with links</x:v>
      </x:c>
      <x:c r="E9" s="13" t="str">
        <x:v>Alexander</x:v>
      </x:c>
      <x:c r="F9" s="13" t="str">
        <x:v>Not Started</x:v>
      </x:c>
      <x:c r="G9" s="19" t="n">
        <x:v>0</x:v>
      </x:c>
      <x:c r="H9" s="18" t="n">
        <x:v>46211</x:v>
      </x:c>
      <x:c r="I9" s="13" t="str">
        <x:v>ATS-friendly and focused</x:v>
      </x:c>
      <x:c r="J9" s="13" t="str"/>
    </x:row>
    <x:row r="10">
      <x:c r="A10" s="13" t="str">
        <x:v>LinkedIn</x:v>
      </x:c>
      <x:c r="B10" s="13" t="str">
        <x:v>High</x:v>
      </x:c>
      <x:c r="C10" s="13" t="str">
        <x:v>Pending</x:v>
      </x:c>
      <x:c r="D10" s="13" t="str">
        <x:v>Headline/About/Featured</x:v>
      </x:c>
      <x:c r="E10" s="13" t="str">
        <x:v>Alexander</x:v>
      </x:c>
      <x:c r="F10" s="13" t="str">
        <x:v>Not Started</x:v>
      </x:c>
      <x:c r="G10" s="19" t="n">
        <x:v>0</x:v>
      </x:c>
      <x:c r="H10" s="18" t="n">
        <x:v>46211</x:v>
      </x:c>
      <x:c r="I10" s="13" t="str">
        <x:v>Coherent public profile</x:v>
      </x:c>
      <x:c r="J10" s="13" t="str"/>
    </x:row>
    <x:row r="11">
      <x:c r="A11" s="13" t="str">
        <x:v>Demo reel 90s</x:v>
      </x:c>
      <x:c r="B11" s="13" t="str">
        <x:v>High</x:v>
      </x:c>
      <x:c r="C11" s="13" t="str">
        <x:v>Pending</x:v>
      </x:c>
      <x:c r="D11" s="13" t="str">
        <x:v>Record and edit TwinSight</x:v>
      </x:c>
      <x:c r="E11" s="13" t="str">
        <x:v>Alexander</x:v>
      </x:c>
      <x:c r="F11" s="13" t="str">
        <x:v>Not Started</x:v>
      </x:c>
      <x:c r="G11" s="19" t="n">
        <x:v>0</x:v>
      </x:c>
      <x:c r="H11" s="18" t="n">
        <x:v>46204</x:v>
      </x:c>
      <x:c r="I11" s="13" t="str">
        <x:v>Main demo + teaser</x:v>
      </x:c>
      <x:c r="J11" s="13" t="str"/>
    </x:row>
    <x:row r="12">
      <x:c r="A12" s="13" t="str">
        <x:v>ArtStation breakdown</x:v>
      </x:c>
      <x:c r="B12" s="13" t="str">
        <x:v>Medium</x:v>
      </x:c>
      <x:c r="C12" s="13" t="str">
        <x:v>Pending</x:v>
      </x:c>
      <x:c r="D12" s="13" t="str">
        <x:v>TwinSight/Human breakdown</x:v>
      </x:c>
      <x:c r="E12" s="13" t="str">
        <x:v>Alexander</x:v>
      </x:c>
      <x:c r="F12" s="13" t="str">
        <x:v>Not Started</x:v>
      </x:c>
      <x:c r="G12" s="19" t="n">
        <x:v>0</x:v>
      </x:c>
      <x:c r="H12" s="18" t="n">
        <x:v>46215</x:v>
      </x:c>
      <x:c r="I12" s="13" t="str">
        <x:v>Technical art presentation</x:v>
      </x:c>
      <x:c r="J12" s="13" t="str"/>
    </x:row>
    <x:row r="13">
      <x:c r="A13" s="13" t="str">
        <x:v>Human CGCookie renders</x:v>
      </x:c>
      <x:c r="B13" s="13" t="str">
        <x:v>Medium</x:v>
      </x:c>
      <x:c r="C13" s="13" t="str">
        <x:v>Pending</x:v>
      </x:c>
      <x:c r="D13" s="13" t="str">
        <x:v>Extract 3-5 renders</x:v>
      </x:c>
      <x:c r="E13" s="13" t="str">
        <x:v>Alexander</x:v>
      </x:c>
      <x:c r="F13" s="13" t="str">
        <x:v>Not Started</x:v>
      </x:c>
      <x:c r="G13" s="19" t="n">
        <x:v>0</x:v>
      </x:c>
      <x:c r="H13" s="18" t="n">
        <x:v>46215</x:v>
      </x:c>
      <x:c r="I13" s="13" t="str">
        <x:v>Visual proof asset</x:v>
      </x:c>
      <x:c r="J13" s="13" t="str"/>
    </x:row>
    <x:row r="14">
      <x:c r="A14" s="13" t="str">
        <x:v>ARA MVP</x:v>
      </x:c>
      <x:c r="B14" s="13" t="str">
        <x:v>Medium</x:v>
      </x:c>
      <x:c r="C14" s="13" t="str">
        <x:v>Pending</x:v>
      </x:c>
      <x:c r="D14" s="13" t="str">
        <x:v>Functional README/demo after main package</x:v>
      </x:c>
      <x:c r="E14" s="13" t="str">
        <x:v>Alexander</x:v>
      </x:c>
      <x:c r="F14" s="13" t="str">
        <x:v>Paused</x:v>
      </x:c>
      <x:c r="G14" s="19" t="n">
        <x:v>0</x:v>
      </x:c>
      <x:c r="H14" s="18" t="n">
        <x:v>46244</x:v>
      </x:c>
      <x:c r="I14" s="13" t="str">
        <x:v>Secondary tooling proof</x:v>
      </x:c>
      <x:c r="J14" s="13" t="str"/>
    </x:row>
    <x:row r="15">
      <x:c r="A15" s="13" t="str"/>
      <x:c r="B15" s="13" t="str"/>
      <x:c r="C15" s="13" t="str"/>
      <x:c r="D15" s="13" t="str"/>
      <x:c r="E15" s="13" t="str"/>
      <x:c r="F15" s="13" t="str">
        <x:v>Not Started</x:v>
      </x:c>
      <x:c r="G15" s="19" t="n">
        <x:v>0</x:v>
      </x:c>
      <x:c r="H15" s="18"/>
      <x:c r="I15" s="13" t="str"/>
      <x:c r="J15" s="13" t="str"/>
    </x:row>
    <x:row r="16">
      <x:c r="A16" s="13" t="str"/>
      <x:c r="B16" s="13" t="str"/>
      <x:c r="C16" s="13" t="str"/>
      <x:c r="D16" s="13" t="str"/>
      <x:c r="E16" s="13" t="str"/>
      <x:c r="F16" s="13" t="str">
        <x:v>Not Started</x:v>
      </x:c>
      <x:c r="G16" s="19" t="n">
        <x:v>0</x:v>
      </x:c>
      <x:c r="H16" s="18"/>
      <x:c r="I16" s="13" t="str"/>
      <x:c r="J16" s="13" t="str"/>
    </x:row>
    <x:row r="17">
      <x:c r="A17" s="13" t="str"/>
      <x:c r="B17" s="13" t="str"/>
      <x:c r="C17" s="13" t="str"/>
      <x:c r="D17" s="13" t="str"/>
      <x:c r="E17" s="13" t="str"/>
      <x:c r="F17" s="13" t="str">
        <x:v>Not Started</x:v>
      </x:c>
      <x:c r="G17" s="19" t="n">
        <x:v>0</x:v>
      </x:c>
      <x:c r="H17" s="18"/>
      <x:c r="I17" s="13" t="str"/>
      <x:c r="J17" s="13" t="str"/>
    </x:row>
    <x:row r="18">
      <x:c r="A18" s="13" t="str"/>
      <x:c r="B18" s="13" t="str"/>
      <x:c r="C18" s="13" t="str"/>
      <x:c r="D18" s="13" t="str"/>
      <x:c r="E18" s="13" t="str"/>
      <x:c r="F18" s="13" t="str">
        <x:v>Not Started</x:v>
      </x:c>
      <x:c r="G18" s="19" t="n">
        <x:v>0</x:v>
      </x:c>
      <x:c r="H18" s="18"/>
      <x:c r="I18" s="13" t="str"/>
      <x:c r="J18" s="13" t="str"/>
    </x:row>
    <x:row r="19">
      <x:c r="A19" s="13" t="str"/>
      <x:c r="B19" s="13" t="str"/>
      <x:c r="C19" s="13" t="str"/>
      <x:c r="D19" s="13" t="str"/>
      <x:c r="E19" s="13" t="str"/>
      <x:c r="F19" s="13" t="str">
        <x:v>Not Started</x:v>
      </x:c>
      <x:c r="G19" s="19" t="n">
        <x:v>0</x:v>
      </x:c>
      <x:c r="H19" s="18"/>
      <x:c r="I19" s="13" t="str"/>
      <x:c r="J19" s="13" t="str"/>
    </x:row>
    <x:row r="20">
      <x:c r="A20" s="13" t="str"/>
      <x:c r="B20" s="13" t="str"/>
      <x:c r="C20" s="13" t="str"/>
      <x:c r="D20" s="13" t="str"/>
      <x:c r="E20" s="13" t="str"/>
      <x:c r="F20" s="13" t="str">
        <x:v>Not Started</x:v>
      </x:c>
      <x:c r="G20" s="19" t="n">
        <x:v>0</x:v>
      </x:c>
      <x:c r="H20" s="18"/>
      <x:c r="I20" s="13" t="str"/>
      <x:c r="J20" s="13" t="str"/>
    </x:row>
    <x:row r="21">
      <x:c r="A21" s="13" t="str"/>
      <x:c r="B21" s="13" t="str"/>
      <x:c r="C21" s="13" t="str"/>
      <x:c r="D21" s="13" t="str"/>
      <x:c r="E21" s="13" t="str"/>
      <x:c r="F21" s="13" t="str">
        <x:v>Not Started</x:v>
      </x:c>
      <x:c r="G21" s="19" t="n">
        <x:v>0</x:v>
      </x:c>
      <x:c r="H21" s="18"/>
      <x:c r="I21" s="13" t="str"/>
      <x:c r="J21" s="13" t="str"/>
    </x:row>
    <x:row r="22">
      <x:c r="A22" s="13" t="str"/>
      <x:c r="B22" s="13" t="str"/>
      <x:c r="C22" s="13" t="str"/>
      <x:c r="D22" s="13" t="str"/>
      <x:c r="E22" s="13" t="str"/>
      <x:c r="F22" s="13" t="str">
        <x:v>Not Started</x:v>
      </x:c>
      <x:c r="G22" s="19" t="n">
        <x:v>0</x:v>
      </x:c>
      <x:c r="H22" s="18"/>
      <x:c r="I22" s="13" t="str"/>
      <x:c r="J22" s="13" t="str"/>
    </x:row>
    <x:row r="23">
      <x:c r="A23" s="13" t="str"/>
      <x:c r="B23" s="13" t="str"/>
      <x:c r="C23" s="13" t="str"/>
      <x:c r="D23" s="13" t="str"/>
      <x:c r="E23" s="13" t="str"/>
      <x:c r="F23" s="13" t="str">
        <x:v>Not Started</x:v>
      </x:c>
      <x:c r="G23" s="19" t="n">
        <x:v>0</x:v>
      </x:c>
      <x:c r="H23" s="18"/>
      <x:c r="I23" s="13" t="str"/>
      <x:c r="J23" s="13" t="str"/>
    </x:row>
    <x:row r="24">
      <x:c r="A24" s="13" t="str"/>
      <x:c r="B24" s="13" t="str"/>
      <x:c r="C24" s="13" t="str"/>
      <x:c r="D24" s="13" t="str"/>
      <x:c r="E24" s="13" t="str"/>
      <x:c r="F24" s="13" t="str">
        <x:v>Not Started</x:v>
      </x:c>
      <x:c r="G24" s="19" t="n">
        <x:v>0</x:v>
      </x:c>
      <x:c r="H24" s="18"/>
      <x:c r="I24" s="13" t="str"/>
      <x:c r="J24" s="13" t="str"/>
    </x:row>
    <x:row r="25">
      <x:c r="A25" s="13" t="str"/>
      <x:c r="B25" s="13" t="str"/>
      <x:c r="C25" s="13" t="str"/>
      <x:c r="D25" s="13" t="str"/>
      <x:c r="E25" s="13" t="str"/>
      <x:c r="F25" s="13" t="str">
        <x:v>Not Started</x:v>
      </x:c>
      <x:c r="G25" s="19" t="n">
        <x:v>0</x:v>
      </x:c>
      <x:c r="H25" s="18"/>
      <x:c r="I25" s="13" t="str"/>
      <x:c r="J25" s="13" t="str"/>
    </x:row>
  </x:sheetData>
  <x:mergeCells>
    <x:mergeCell ref="A1:J1"/>
    <x:mergeCell ref="A2:J2"/>
  </x:mergeCells>
  <x:dataValidations count="2">
    <x:dataValidation type="list" sqref="B6:B25">
      <x:formula1>"High,Medium,Low"</x:formula1>
    </x:dataValidation>
    <x:dataValidation type="list" sqref="F6:F25">
      <x:formula1>"Not Started,In Progress,Blocked,Done,Paused"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f46d2e671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2.5" hidden="0" customWidth="1"/>
    <x:col min="3" max="3" width="17.5" hidden="0" customWidth="1"/>
    <x:col min="4" max="4" width="28.75" hidden="0" customWidth="1"/>
    <x:col min="5" max="5" width="18.75" hidden="0" customWidth="1"/>
    <x:col min="6" max="6" width="16.25" hidden="0" customWidth="1"/>
    <x:col min="7" max="7" width="15" hidden="0" customWidth="1"/>
    <x:col min="8" max="8" width="8.75" hidden="0" customWidth="1"/>
    <x:col min="9" max="9" width="31.25" hidden="0" customWidth="1"/>
  </x:cols>
  <x:sheetData>
    <x:row r="1">
      <x:c r="A1" s="3" t="str">
        <x:v>Study Outputs</x:v>
      </x:c>
      <x:c r="B1" s="3" t="str">
        <x:v>Study Outputs</x:v>
      </x:c>
      <x:c r="C1" s="3" t="str">
        <x:v>Study Outputs</x:v>
      </x:c>
      <x:c r="D1" s="3" t="str">
        <x:v>Study Outputs</x:v>
      </x:c>
      <x:c r="E1" s="3" t="str">
        <x:v>Study Outputs</x:v>
      </x:c>
      <x:c r="F1" s="3" t="str">
        <x:v>Study Outputs</x:v>
      </x:c>
      <x:c r="G1" s="3" t="str">
        <x:v>Study Outputs</x:v>
      </x:c>
      <x:c r="H1" s="3" t="str">
        <x:v>Study Outputs</x:v>
      </x:c>
      <x:c r="I1" s="3" t="str">
        <x:v>Study Outputs</x:v>
      </x:c>
    </x:row>
    <x:row r="2">
      <x:c r="A2" s="6" t="str">
        <x:v>Estudio permitido solo si produce evidencia o desbloquea entrevista.</x:v>
      </x:c>
      <x:c r="B2" s="6" t="str">
        <x:v>Estudio permitido solo si produce evidencia o desbloquea entrevista.</x:v>
      </x:c>
      <x:c r="C2" s="6" t="str">
        <x:v>Estudio permitido solo si produce evidencia o desbloquea entrevista.</x:v>
      </x:c>
      <x:c r="D2" s="6" t="str">
        <x:v>Estudio permitido solo si produce evidencia o desbloquea entrevista.</x:v>
      </x:c>
      <x:c r="E2" s="6" t="str">
        <x:v>Estudio permitido solo si produce evidencia o desbloquea entrevista.</x:v>
      </x:c>
      <x:c r="F2" s="6" t="str">
        <x:v>Estudio permitido solo si produce evidencia o desbloquea entrevista.</x:v>
      </x:c>
      <x:c r="G2" s="6" t="str">
        <x:v>Estudio permitido solo si produce evidencia o desbloquea entrevista.</x:v>
      </x:c>
      <x:c r="H2" s="6" t="str">
        <x:v>Estudio permitido solo si produce evidencia o desbloquea entrevista.</x:v>
      </x:c>
      <x:c r="I2" s="6" t="str">
        <x:v>Estudio permitido solo si produce evidencia o desbloquea entrevista.</x:v>
      </x:c>
    </x:row>
    <x:row r="5">
      <x:c r="A5" s="9" t="str">
        <x:v>Week</x:v>
      </x:c>
      <x:c r="B5" s="9" t="str">
        <x:v>Topic</x:v>
      </x:c>
      <x:c r="C5" s="9" t="str">
        <x:v>Why</x:v>
      </x:c>
      <x:c r="D5" s="9" t="str">
        <x:v>Action</x:v>
      </x:c>
      <x:c r="E5" s="9" t="str">
        <x:v>Output</x:v>
      </x:c>
      <x:c r="F5" s="9" t="str">
        <x:v>Linked Asset</x:v>
      </x:c>
      <x:c r="G5" s="9" t="str">
        <x:v>Status</x:v>
      </x:c>
      <x:c r="H5" s="9" t="str">
        <x:v>Hours</x:v>
      </x:c>
      <x:c r="I5" s="9" t="str">
        <x:v>Notes</x:v>
      </x:c>
    </x:row>
    <x:row r="6">
      <x:c r="A6" s="13" t="n">
        <x:v>1</x:v>
      </x:c>
      <x:c r="B6" s="13" t="str">
        <x:v>Narrative and pitch</x:v>
      </x:c>
      <x:c r="C6" s="13" t="str">
        <x:v>Coherence</x:v>
      </x:c>
      <x:c r="D6" s="13" t="str">
        <x:v>Write 30/60/120s pitch</x:v>
      </x:c>
      <x:c r="E6" s="13" t="str">
        <x:v>Pitch ready</x:v>
      </x:c>
      <x:c r="F6" s="13" t="str">
        <x:v>LinkedIn/CV</x:v>
      </x:c>
      <x:c r="G6" s="13" t="str">
        <x:v>In Progress</x:v>
      </x:c>
      <x:c r="H6" s="13" t="n">
        <x:v>3</x:v>
      </x:c>
      <x:c r="I6" s="13" t="str"/>
    </x:row>
    <x:row r="7">
      <x:c r="A7" s="13" t="n">
        <x:v>2</x:v>
      </x:c>
      <x:c r="B7" s="13" t="str">
        <x:v>Unity WebGL constraints</x:v>
      </x:c>
      <x:c r="C7" s="13" t="str">
        <x:v>TwinSight defense</x:v>
      </x:c>
      <x:c r="D7" s="13" t="str">
        <x:v>Document build constraints</x:v>
      </x:c>
      <x:c r="E7" s="13" t="str">
        <x:v>README section</x:v>
      </x:c>
      <x:c r="F7" s="13" t="str">
        <x:v>GitHub</x:v>
      </x:c>
      <x:c r="G7" s="13" t="str">
        <x:v>Not Started</x:v>
      </x:c>
      <x:c r="H7" s="13" t="n">
        <x:v>4</x:v>
      </x:c>
      <x:c r="I7" s="13" t="str"/>
    </x:row>
    <x:row r="8">
      <x:c r="A8" s="13" t="n">
        <x:v>3</x:v>
      </x:c>
      <x:c r="B8" s="13" t="str">
        <x:v>CAD-to-realtime optimization</x:v>
      </x:c>
      <x:c r="C8" s="13" t="str">
        <x:v>Technical art proof</x:v>
      </x:c>
      <x:c r="D8" s="13" t="str">
        <x:v>Before/after breakdown</x:v>
      </x:c>
      <x:c r="E8" s="13" t="str">
        <x:v>Portfolio section</x:v>
      </x:c>
      <x:c r="F8" s="13" t="str">
        <x:v>TwinSight</x:v>
      </x:c>
      <x:c r="G8" s="13" t="str">
        <x:v>Not Started</x:v>
      </x:c>
      <x:c r="H8" s="13" t="n">
        <x:v>4</x:v>
      </x:c>
      <x:c r="I8" s="13" t="str"/>
    </x:row>
    <x:row r="9">
      <x:c r="A9" s="13" t="n">
        <x:v>4</x:v>
      </x:c>
      <x:c r="B9" s="13" t="str">
        <x:v>Interaction UX</x:v>
      </x:c>
      <x:c r="C9" s="13" t="str">
        <x:v>Feature clarity</x:v>
      </x:c>
      <x:c r="D9" s="13" t="str">
        <x:v>Record feature GIFs</x:v>
      </x:c>
      <x:c r="E9" s="13" t="str">
        <x:v>Demo clips</x:v>
      </x:c>
      <x:c r="F9" s="13" t="str">
        <x:v>Portfolio</x:v>
      </x:c>
      <x:c r="G9" s="13" t="str">
        <x:v>Not Started</x:v>
      </x:c>
      <x:c r="H9" s="13" t="n">
        <x:v>4</x:v>
      </x:c>
      <x:c r="I9" s="13" t="str"/>
    </x:row>
    <x:row r="10">
      <x:c r="A10" s="13" t="n">
        <x:v>5</x:v>
      </x:c>
      <x:c r="B10" s="13" t="str">
        <x:v>UI Toolkit / interface</x:v>
      </x:c>
      <x:c r="C10" s="13" t="str">
        <x:v>Tool polish</x:v>
      </x:c>
      <x:c r="D10" s="13" t="str">
        <x:v>Improve panels</x:v>
      </x:c>
      <x:c r="E10" s="13" t="str">
        <x:v>UI screenshot</x:v>
      </x:c>
      <x:c r="F10" s="13" t="str">
        <x:v>TwinSight</x:v>
      </x:c>
      <x:c r="G10" s="13" t="str">
        <x:v>Not Started</x:v>
      </x:c>
      <x:c r="H10" s="13" t="n">
        <x:v>3</x:v>
      </x:c>
      <x:c r="I10" s="13" t="str"/>
    </x:row>
    <x:row r="11">
      <x:c r="A11" s="13" t="n">
        <x:v>6</x:v>
      </x:c>
      <x:c r="B11" s="13" t="str">
        <x:v>README/documentation</x:v>
      </x:c>
      <x:c r="C11" s="13" t="str">
        <x:v>Technical reviewer</x:v>
      </x:c>
      <x:c r="D11" s="13" t="str">
        <x:v>Finalize README</x:v>
      </x:c>
      <x:c r="E11" s="13" t="str">
        <x:v>README v1</x:v>
      </x:c>
      <x:c r="F11" s="13" t="str">
        <x:v>GitHub</x:v>
      </x:c>
      <x:c r="G11" s="13" t="str">
        <x:v>Not Started</x:v>
      </x:c>
      <x:c r="H11" s="13" t="n">
        <x:v>3</x:v>
      </x:c>
      <x:c r="I11" s="13" t="str"/>
    </x:row>
    <x:row r="12">
      <x:c r="A12" s="13" t="n">
        <x:v>7</x:v>
      </x:c>
      <x:c r="B12" s="13" t="str">
        <x:v>Visual presentation</x:v>
      </x:c>
      <x:c r="C12" s="13" t="str">
        <x:v>ArtStation</x:v>
      </x:c>
      <x:c r="D12" s="13" t="str">
        <x:v>Prepare breakdown</x:v>
      </x:c>
      <x:c r="E12" s="13" t="str">
        <x:v>ArtStation post</x:v>
      </x:c>
      <x:c r="F12" s="13" t="str">
        <x:v>Human/TwinSight</x:v>
      </x:c>
      <x:c r="G12" s="13" t="str">
        <x:v>Not Started</x:v>
      </x:c>
      <x:c r="H12" s="13" t="n">
        <x:v>4</x:v>
      </x:c>
      <x:c r="I12" s="13" t="str"/>
    </x:row>
    <x:row r="13">
      <x:c r="A13" s="13" t="n">
        <x:v>8</x:v>
      </x:c>
      <x:c r="B13" s="13" t="str">
        <x:v>Interview defense</x:v>
      </x:c>
      <x:c r="C13" s="13" t="str">
        <x:v>Conversion</x:v>
      </x:c>
      <x:c r="D13" s="13" t="str">
        <x:v>Practice answer bank</x:v>
      </x:c>
      <x:c r="E13" s="13" t="str">
        <x:v>20 answers</x:v>
      </x:c>
      <x:c r="F13" s="13" t="str">
        <x:v>Interview</x:v>
      </x:c>
      <x:c r="G13" s="13" t="str">
        <x:v>Not Started</x:v>
      </x:c>
      <x:c r="H13" s="13" t="n">
        <x:v>3</x:v>
      </x:c>
      <x:c r="I13" s="13" t="str"/>
    </x:row>
    <x:row r="14">
      <x:c r="A14" s="13" t="n">
        <x:v>9</x:v>
      </x:c>
      <x:c r="B14" s="13" t="str">
        <x:v>Application writing</x:v>
      </x:c>
      <x:c r="C14" s="13" t="str">
        <x:v>Outreach</x:v>
      </x:c>
      <x:c r="D14" s="13" t="str">
        <x:v>Templates + applications</x:v>
      </x:c>
      <x:c r="E14" s="13" t="str">
        <x:v>5 apps</x:v>
      </x:c>
      <x:c r="F14" s="13" t="str">
        <x:v>Applications</x:v>
      </x:c>
      <x:c r="G14" s="13" t="str">
        <x:v>Not Started</x:v>
      </x:c>
      <x:c r="H14" s="13" t="n">
        <x:v>3</x:v>
      </x:c>
      <x:c r="I14" s="13" t="str"/>
    </x:row>
    <x:row r="15">
      <x:c r="A15" s="13" t="n">
        <x:v>10</x:v>
      </x:c>
      <x:c r="B15" s="13" t="str">
        <x:v>Test assignment readiness</x:v>
      </x:c>
      <x:c r="C15" s="13" t="str">
        <x:v>Hiring screen</x:v>
      </x:c>
      <x:c r="D15" s="13" t="str">
        <x:v>Mini test prep</x:v>
      </x:c>
      <x:c r="E15" s="13" t="str">
        <x:v>Checklist</x:v>
      </x:c>
      <x:c r="F15" s="13" t="str">
        <x:v>Interview</x:v>
      </x:c>
      <x:c r="G15" s="13" t="str">
        <x:v>Not Started</x:v>
      </x:c>
      <x:c r="H15" s="13" t="n">
        <x:v>3</x:v>
      </x:c>
      <x:c r="I15" s="13" t="str"/>
    </x:row>
    <x:row r="16">
      <x:c r="A16" s="13" t="n">
        <x:v>11</x:v>
      </x:c>
      <x:c r="B16" s="13" t="str">
        <x:v>Negotiation</x:v>
      </x:c>
      <x:c r="C16" s="13" t="str">
        <x:v>Offer quality</x:v>
      </x:c>
      <x:c r="D16" s="13" t="str">
        <x:v>Prepare ranges</x:v>
      </x:c>
      <x:c r="E16" s="13" t="str">
        <x:v>Scorecard</x:v>
      </x:c>
      <x:c r="F16" s="13" t="str">
        <x:v>Offers</x:v>
      </x:c>
      <x:c r="G16" s="13" t="str">
        <x:v>Not Started</x:v>
      </x:c>
      <x:c r="H16" s="13" t="n">
        <x:v>2</x:v>
      </x:c>
      <x:c r="I16" s="13" t="str"/>
    </x:row>
    <x:row r="17">
      <x:c r="A17" s="13" t="n">
        <x:v>12</x:v>
      </x:c>
      <x:c r="B17" s="13" t="str">
        <x:v>Pivot audit</x:v>
      </x:c>
      <x:c r="C17" s="13" t="str">
        <x:v>Strategy</x:v>
      </x:c>
      <x:c r="D17" s="13" t="str">
        <x:v>Analyze conversion</x:v>
      </x:c>
      <x:c r="E17" s="13" t="str">
        <x:v>Decision</x:v>
      </x:c>
      <x:c r="F17" s="13" t="str">
        <x:v>Dashboard</x:v>
      </x:c>
      <x:c r="G17" s="13" t="str">
        <x:v>Not Started</x:v>
      </x:c>
      <x:c r="H17" s="13" t="n">
        <x:v>2</x:v>
      </x:c>
      <x:c r="I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>
        <x:v>Not Started</x:v>
      </x:c>
      <x:c r="H18" s="13" t="str"/>
      <x:c r="I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>
        <x:v>Not Started</x:v>
      </x:c>
      <x:c r="H19" s="13" t="str"/>
      <x:c r="I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>
        <x:v>Not Started</x:v>
      </x:c>
      <x:c r="H20" s="13" t="str"/>
      <x:c r="I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>
        <x:v>Not Started</x:v>
      </x:c>
      <x:c r="H21" s="13" t="str"/>
      <x:c r="I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>
        <x:v>Not Started</x:v>
      </x:c>
      <x:c r="H22" s="13" t="str"/>
      <x:c r="I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>
        <x:v>Not Started</x:v>
      </x:c>
      <x:c r="H23" s="13" t="str"/>
      <x:c r="I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>
        <x:v>Not Started</x:v>
      </x:c>
      <x:c r="H24" s="13" t="str"/>
      <x:c r="I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>
        <x:v>Not Started</x:v>
      </x:c>
      <x:c r="H25" s="13" t="str"/>
      <x:c r="I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>
        <x:v>Not Started</x:v>
      </x:c>
      <x:c r="H26" s="13" t="str"/>
      <x:c r="I26" s="13" t="str"/>
    </x:row>
    <x:row r="27">
      <x:c r="A27" s="13" t="str"/>
      <x:c r="B27" s="13" t="str"/>
      <x:c r="C27" s="13" t="str"/>
      <x:c r="D27" s="13" t="str"/>
      <x:c r="E27" s="13" t="str"/>
      <x:c r="F27" s="13" t="str"/>
      <x:c r="G27" s="13" t="str">
        <x:v>Not Started</x:v>
      </x:c>
      <x:c r="H27" s="13" t="str"/>
      <x:c r="I27" s="13" t="str"/>
    </x:row>
    <x:row r="28">
      <x:c r="A28" s="13" t="str"/>
      <x:c r="B28" s="13" t="str"/>
      <x:c r="C28" s="13" t="str"/>
      <x:c r="D28" s="13" t="str"/>
      <x:c r="E28" s="13" t="str"/>
      <x:c r="F28" s="13" t="str"/>
      <x:c r="G28" s="13" t="str">
        <x:v>Not Started</x:v>
      </x:c>
      <x:c r="H28" s="13" t="str"/>
      <x:c r="I28" s="13" t="str"/>
    </x:row>
    <x:row r="29">
      <x:c r="A29" s="13" t="str"/>
      <x:c r="B29" s="13" t="str"/>
      <x:c r="C29" s="13" t="str"/>
      <x:c r="D29" s="13" t="str"/>
      <x:c r="E29" s="13" t="str"/>
      <x:c r="F29" s="13" t="str"/>
      <x:c r="G29" s="13" t="str">
        <x:v>Not Started</x:v>
      </x:c>
      <x:c r="H29" s="13" t="str"/>
      <x:c r="I29" s="13" t="str"/>
    </x:row>
    <x:row r="30">
      <x:c r="A30" s="13" t="str"/>
      <x:c r="B30" s="13" t="str"/>
      <x:c r="C30" s="13" t="str"/>
      <x:c r="D30" s="13" t="str"/>
      <x:c r="E30" s="13" t="str"/>
      <x:c r="F30" s="13" t="str"/>
      <x:c r="G30" s="13" t="str">
        <x:v>Not Started</x:v>
      </x:c>
      <x:c r="H30" s="13" t="str"/>
      <x:c r="I30" s="13" t="str"/>
    </x:row>
    <x:row r="31">
      <x:c r="A31" s="13" t="str"/>
      <x:c r="B31" s="13" t="str"/>
      <x:c r="C31" s="13" t="str"/>
      <x:c r="D31" s="13" t="str"/>
      <x:c r="E31" s="13" t="str"/>
      <x:c r="F31" s="13" t="str"/>
      <x:c r="G31" s="13" t="str">
        <x:v>Not Started</x:v>
      </x:c>
      <x:c r="H31" s="13" t="str"/>
      <x:c r="I31" s="13" t="str"/>
    </x:row>
    <x:row r="32">
      <x:c r="A32" s="13" t="str"/>
      <x:c r="B32" s="13" t="str"/>
      <x:c r="C32" s="13" t="str"/>
      <x:c r="D32" s="13" t="str"/>
      <x:c r="E32" s="13" t="str"/>
      <x:c r="F32" s="13" t="str"/>
      <x:c r="G32" s="13" t="str">
        <x:v>Not Started</x:v>
      </x:c>
      <x:c r="H32" s="13" t="str"/>
      <x:c r="I32" s="13" t="str"/>
    </x:row>
    <x:row r="33">
      <x:c r="A33" s="13" t="str"/>
      <x:c r="B33" s="13" t="str"/>
      <x:c r="C33" s="13" t="str"/>
      <x:c r="D33" s="13" t="str"/>
      <x:c r="E33" s="13" t="str"/>
      <x:c r="F33" s="13" t="str"/>
      <x:c r="G33" s="13" t="str">
        <x:v>Not Started</x:v>
      </x:c>
      <x:c r="H33" s="13" t="str"/>
      <x:c r="I33" s="13" t="str"/>
    </x:row>
    <x:row r="34">
      <x:c r="A34" s="13" t="str"/>
      <x:c r="B34" s="13" t="str"/>
      <x:c r="C34" s="13" t="str"/>
      <x:c r="D34" s="13" t="str"/>
      <x:c r="E34" s="13" t="str"/>
      <x:c r="F34" s="13" t="str"/>
      <x:c r="G34" s="13" t="str">
        <x:v>Not Started</x:v>
      </x:c>
      <x:c r="H34" s="13" t="str"/>
      <x:c r="I34" s="13" t="str"/>
    </x:row>
    <x:row r="35">
      <x:c r="A35" s="13" t="str"/>
      <x:c r="B35" s="13" t="str"/>
      <x:c r="C35" s="13" t="str"/>
      <x:c r="D35" s="13" t="str"/>
      <x:c r="E35" s="13" t="str"/>
      <x:c r="F35" s="13" t="str"/>
      <x:c r="G35" s="13" t="str">
        <x:v>Not Started</x:v>
      </x:c>
      <x:c r="H35" s="13" t="str"/>
      <x:c r="I35" s="13" t="str"/>
    </x:row>
    <x:row r="36">
      <x:c r="A36" s="13" t="str"/>
      <x:c r="B36" s="13" t="str"/>
      <x:c r="C36" s="13" t="str"/>
      <x:c r="D36" s="13" t="str"/>
      <x:c r="E36" s="13" t="str"/>
      <x:c r="F36" s="13" t="str"/>
      <x:c r="G36" s="13" t="str">
        <x:v>Not Started</x:v>
      </x:c>
      <x:c r="H36" s="13" t="str"/>
      <x:c r="I36" s="13" t="str"/>
    </x:row>
    <x:row r="37">
      <x:c r="A37" s="13" t="str"/>
      <x:c r="B37" s="13" t="str"/>
      <x:c r="C37" s="13" t="str"/>
      <x:c r="D37" s="13" t="str"/>
      <x:c r="E37" s="13" t="str"/>
      <x:c r="F37" s="13" t="str"/>
      <x:c r="G37" s="13" t="str">
        <x:v>Not Started</x:v>
      </x:c>
      <x:c r="H37" s="13" t="str"/>
      <x:c r="I37" s="13" t="str"/>
    </x:row>
    <x:row r="38">
      <x:c r="A38" s="13" t="str"/>
      <x:c r="B38" s="13" t="str"/>
      <x:c r="C38" s="13" t="str"/>
      <x:c r="D38" s="13" t="str"/>
      <x:c r="E38" s="13" t="str"/>
      <x:c r="F38" s="13" t="str"/>
      <x:c r="G38" s="13" t="str">
        <x:v>Not Started</x:v>
      </x:c>
      <x:c r="H38" s="13" t="str"/>
      <x:c r="I38" s="13" t="str"/>
    </x:row>
    <x:row r="39">
      <x:c r="A39" s="13" t="str"/>
      <x:c r="B39" s="13" t="str"/>
      <x:c r="C39" s="13" t="str"/>
      <x:c r="D39" s="13" t="str"/>
      <x:c r="E39" s="13" t="str"/>
      <x:c r="F39" s="13" t="str"/>
      <x:c r="G39" s="13" t="str">
        <x:v>Not Started</x:v>
      </x:c>
      <x:c r="H39" s="13" t="str"/>
      <x:c r="I39" s="13" t="str"/>
    </x:row>
    <x:row r="40">
      <x:c r="A40" s="13" t="str"/>
      <x:c r="B40" s="13" t="str"/>
      <x:c r="C40" s="13" t="str"/>
      <x:c r="D40" s="13" t="str"/>
      <x:c r="E40" s="13" t="str"/>
      <x:c r="F40" s="13" t="str"/>
      <x:c r="G40" s="13" t="str">
        <x:v>Not Started</x:v>
      </x:c>
      <x:c r="H40" s="13" t="str"/>
      <x:c r="I40" s="13" t="str"/>
    </x:row>
    <x:row r="41">
      <x:c r="A41" s="13" t="str"/>
      <x:c r="B41" s="13" t="str"/>
      <x:c r="C41" s="13" t="str"/>
      <x:c r="D41" s="13" t="str"/>
      <x:c r="E41" s="13" t="str"/>
      <x:c r="F41" s="13" t="str"/>
      <x:c r="G41" s="13" t="str">
        <x:v>Not Started</x:v>
      </x:c>
      <x:c r="H41" s="13" t="str"/>
      <x:c r="I41" s="13" t="str"/>
    </x:row>
    <x:row r="42">
      <x:c r="A42" s="13" t="str"/>
      <x:c r="B42" s="13" t="str"/>
      <x:c r="C42" s="13" t="str"/>
      <x:c r="D42" s="13" t="str"/>
      <x:c r="E42" s="13" t="str"/>
      <x:c r="F42" s="13" t="str"/>
      <x:c r="G42" s="13" t="str">
        <x:v>Not Started</x:v>
      </x:c>
      <x:c r="H42" s="13" t="str"/>
      <x:c r="I42" s="13" t="str"/>
    </x:row>
    <x:row r="43">
      <x:c r="A43" s="13" t="str"/>
      <x:c r="B43" s="13" t="str"/>
      <x:c r="C43" s="13" t="str"/>
      <x:c r="D43" s="13" t="str"/>
      <x:c r="E43" s="13" t="str"/>
      <x:c r="F43" s="13" t="str"/>
      <x:c r="G43" s="13" t="str">
        <x:v>Not Started</x:v>
      </x:c>
      <x:c r="H43" s="13" t="str"/>
      <x:c r="I43" s="13" t="str"/>
    </x:row>
    <x:row r="44">
      <x:c r="A44" s="13" t="str"/>
      <x:c r="B44" s="13" t="str"/>
      <x:c r="C44" s="13" t="str"/>
      <x:c r="D44" s="13" t="str"/>
      <x:c r="E44" s="13" t="str"/>
      <x:c r="F44" s="13" t="str"/>
      <x:c r="G44" s="13" t="str">
        <x:v>Not Started</x:v>
      </x:c>
      <x:c r="H44" s="13" t="str"/>
      <x:c r="I44" s="13" t="str"/>
    </x:row>
    <x:row r="45">
      <x:c r="A45" s="13" t="str"/>
      <x:c r="B45" s="13" t="str"/>
      <x:c r="C45" s="13" t="str"/>
      <x:c r="D45" s="13" t="str"/>
      <x:c r="E45" s="13" t="str"/>
      <x:c r="F45" s="13" t="str"/>
      <x:c r="G45" s="13" t="str">
        <x:v>Not Started</x:v>
      </x:c>
      <x:c r="H45" s="13" t="str"/>
      <x:c r="I45" s="13" t="str"/>
    </x:row>
  </x:sheetData>
  <x:mergeCells>
    <x:mergeCell ref="A1:I1"/>
    <x:mergeCell ref="A2:I2"/>
  </x:mergeCells>
  <x:dataValidations count="1">
    <x:dataValidation type="list" sqref="G6:G45">
      <x:formula1>"Not Started,In Progress,Blocked,Done,Paused"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9859b31ca4e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75" hidden="0" customWidth="1"/>
    <x:col min="3" max="3" width="13.75" hidden="0" customWidth="1"/>
    <x:col min="4" max="4" width="10" hidden="0" customWidth="1"/>
    <x:col min="5" max="5" width="10.630000114440918" hidden="0" customWidth="1"/>
    <x:col min="6" max="6" width="10.630000114440918" hidden="0" customWidth="1"/>
    <x:col min="7" max="7" width="11.880000114440918" hidden="0" customWidth="1"/>
    <x:col min="8" max="8" width="13.130000114440918" hidden="0" customWidth="1"/>
    <x:col min="9" max="9" width="10.630000114440918" hidden="0" customWidth="1"/>
    <x:col min="10" max="10" width="13.130000114440918" hidden="0" customWidth="1"/>
    <x:col min="11" max="11" width="13.130000114440918" hidden="0" customWidth="1"/>
    <x:col min="12" max="12" width="10" hidden="0" customWidth="1"/>
    <x:col min="13" max="13" width="13.130000114440918" hidden="0" customWidth="1"/>
    <x:col min="14" max="14" width="32.5" hidden="0" customWidth="1"/>
  </x:cols>
  <x:sheetData>
    <x:row r="1">
      <x:c r="A1" s="3" t="str">
        <x:v>Offer Scorecard</x:v>
      </x:c>
      <x:c r="B1" s="3" t="str">
        <x:v>Offer Scorecard</x:v>
      </x:c>
      <x:c r="C1" s="3" t="str">
        <x:v>Offer Scorecard</x:v>
      </x:c>
      <x:c r="D1" s="3" t="str">
        <x:v>Offer Scorecard</x:v>
      </x:c>
      <x:c r="E1" s="3" t="str">
        <x:v>Offer Scorecard</x:v>
      </x:c>
      <x:c r="F1" s="3" t="str">
        <x:v>Offer Scorecard</x:v>
      </x:c>
      <x:c r="G1" s="3" t="str">
        <x:v>Offer Scorecard</x:v>
      </x:c>
      <x:c r="H1" s="3" t="str">
        <x:v>Offer Scorecard</x:v>
      </x:c>
      <x:c r="I1" s="3" t="str">
        <x:v>Offer Scorecard</x:v>
      </x:c>
      <x:c r="J1" s="3" t="str">
        <x:v>Offer Scorecard</x:v>
      </x:c>
      <x:c r="K1" s="3" t="str">
        <x:v>Offer Scorecard</x:v>
      </x:c>
      <x:c r="L1" s="3" t="str">
        <x:v>Offer Scorecard</x:v>
      </x:c>
      <x:c r="M1" s="3" t="str">
        <x:v>Offer Scorecard</x:v>
      </x:c>
      <x:c r="N1" s="3" t="str">
        <x:v>Offer Scorecard</x:v>
      </x:c>
    </x:row>
    <x:row r="2">
      <x:c r="A2" s="6" t="str">
        <x:v>Aceptar bajo pago solo si da experiencia real en el campo.</x:v>
      </x:c>
      <x:c r="B2" s="6" t="str">
        <x:v>Aceptar bajo pago solo si da experiencia real en el campo.</x:v>
      </x:c>
      <x:c r="C2" s="6" t="str">
        <x:v>Aceptar bajo pago solo si da experiencia real en el campo.</x:v>
      </x:c>
      <x:c r="D2" s="6" t="str">
        <x:v>Aceptar bajo pago solo si da experiencia real en el campo.</x:v>
      </x:c>
      <x:c r="E2" s="6" t="str">
        <x:v>Aceptar bajo pago solo si da experiencia real en el campo.</x:v>
      </x:c>
      <x:c r="F2" s="6" t="str">
        <x:v>Aceptar bajo pago solo si da experiencia real en el campo.</x:v>
      </x:c>
      <x:c r="G2" s="6" t="str">
        <x:v>Aceptar bajo pago solo si da experiencia real en el campo.</x:v>
      </x:c>
      <x:c r="H2" s="6" t="str">
        <x:v>Aceptar bajo pago solo si da experiencia real en el campo.</x:v>
      </x:c>
      <x:c r="I2" s="6" t="str">
        <x:v>Aceptar bajo pago solo si da experiencia real en el campo.</x:v>
      </x:c>
      <x:c r="J2" s="6" t="str">
        <x:v>Aceptar bajo pago solo si da experiencia real en el campo.</x:v>
      </x:c>
      <x:c r="K2" s="6" t="str">
        <x:v>Aceptar bajo pago solo si da experiencia real en el campo.</x:v>
      </x:c>
      <x:c r="L2" s="6" t="str">
        <x:v>Aceptar bajo pago solo si da experiencia real en el campo.</x:v>
      </x:c>
      <x:c r="M2" s="6" t="str">
        <x:v>Aceptar bajo pago solo si da experiencia real en el campo.</x:v>
      </x:c>
      <x:c r="N2" s="6" t="str">
        <x:v>Aceptar bajo pago solo si da experiencia real en el campo.</x:v>
      </x:c>
    </x:row>
    <x:row r="5">
      <x:c r="A5" s="9" t="str">
        <x:v>Company</x:v>
      </x:c>
      <x:c r="B5" s="9" t="str">
        <x:v>Role</x:v>
      </x:c>
      <x:c r="C5" s="9" t="str">
        <x:v>Monthly Gross</x:v>
      </x:c>
      <x:c r="D5" s="9" t="str">
        <x:v>Currency</x:v>
      </x:c>
      <x:c r="E5" s="9" t="str">
        <x:v>Fit Unity/TA</x:v>
      </x:c>
      <x:c r="F5" s="9" t="str">
        <x:v>Learning</x:v>
      </x:c>
      <x:c r="G5" s="9" t="str">
        <x:v>Compensation</x:v>
      </x:c>
      <x:c r="H5" s="9" t="str">
        <x:v>Contract Clarity</x:v>
      </x:c>
      <x:c r="I5" s="9" t="str">
        <x:v>Remote Fit</x:v>
      </x:c>
      <x:c r="J5" s="9" t="str">
        <x:v>Sustainability</x:v>
      </x:c>
      <x:c r="K5" s="9" t="str">
        <x:v>Portfolio Value</x:v>
      </x:c>
      <x:c r="L5" s="9" t="str">
        <x:v>Average</x:v>
      </x:c>
      <x:c r="M5" s="9" t="str">
        <x:v>Decision</x:v>
      </x:c>
      <x:c r="N5" s="9" t="str">
        <x:v>Notes</x:v>
      </x:c>
    </x:row>
    <x:row r="6">
      <x:c r="A6" s="13" t="str"/>
      <x:c r="B6" s="13" t="str"/>
      <x:c r="C6" s="20" t="str"/>
      <x:c r="D6" s="13" t="str">
        <x:v>USD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5" t="str">
        <x:f>IF(A6="","",AVERAGE(E6:K6))</x:f>
      </x:c>
      <x:c r="M6" s="13" t="str">
        <x:f>IF(A6="","",IF(AND(L6&gt;=3.5,E6&gt;=4),"Accept",IF(L6&gt;=3,"Negotiate","Reject")))</x:f>
      </x:c>
      <x:c r="N6" s="13" t="str"/>
    </x:row>
    <x:row r="7">
      <x:c r="A7" s="13" t="str"/>
      <x:c r="B7" s="13" t="str"/>
      <x:c r="C7" s="20" t="str"/>
      <x:c r="D7" s="13" t="str">
        <x:v>USD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5" t="str">
        <x:f>IF(A7="","",AVERAGE(E7:K7))</x:f>
      </x:c>
      <x:c r="M7" s="13" t="str">
        <x:f>IF(A7="","",IF(AND(L7&gt;=3.5,E7&gt;=4),"Accept",IF(L7&gt;=3,"Negotiate","Reject")))</x:f>
      </x:c>
      <x:c r="N7" s="13" t="str"/>
    </x:row>
    <x:row r="8">
      <x:c r="A8" s="13" t="str"/>
      <x:c r="B8" s="13" t="str"/>
      <x:c r="C8" s="20" t="str"/>
      <x:c r="D8" s="13" t="str">
        <x:v>USD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5" t="str">
        <x:f>IF(A8="","",AVERAGE(E8:K8))</x:f>
      </x:c>
      <x:c r="M8" s="13" t="str">
        <x:f>IF(A8="","",IF(AND(L8&gt;=3.5,E8&gt;=4),"Accept",IF(L8&gt;=3,"Negotiate","Reject")))</x:f>
      </x:c>
      <x:c r="N8" s="13" t="str"/>
    </x:row>
    <x:row r="9">
      <x:c r="A9" s="13" t="str"/>
      <x:c r="B9" s="13" t="str"/>
      <x:c r="C9" s="20" t="str"/>
      <x:c r="D9" s="13" t="str">
        <x:v>USD</x:v>
      </x:c>
      <x:c r="E9" s="13" t="str"/>
      <x:c r="F9" s="13" t="str"/>
      <x:c r="G9" s="13" t="str"/>
      <x:c r="H9" s="13" t="str"/>
      <x:c r="I9" s="13" t="str"/>
      <x:c r="J9" s="13" t="str"/>
      <x:c r="K9" s="13" t="str"/>
      <x:c r="L9" s="15" t="str">
        <x:f>IF(A9="","",AVERAGE(E9:K9))</x:f>
      </x:c>
      <x:c r="M9" s="13" t="str">
        <x:f>IF(A9="","",IF(AND(L9&gt;=3.5,E9&gt;=4),"Accept",IF(L9&gt;=3,"Negotiate","Reject")))</x:f>
      </x:c>
      <x:c r="N9" s="13" t="str"/>
    </x:row>
    <x:row r="10">
      <x:c r="A10" s="13" t="str"/>
      <x:c r="B10" s="13" t="str"/>
      <x:c r="C10" s="20" t="str"/>
      <x:c r="D10" s="13" t="str">
        <x:v>USD</x:v>
      </x:c>
      <x:c r="E10" s="13" t="str"/>
      <x:c r="F10" s="13" t="str"/>
      <x:c r="G10" s="13" t="str"/>
      <x:c r="H10" s="13" t="str"/>
      <x:c r="I10" s="13" t="str"/>
      <x:c r="J10" s="13" t="str"/>
      <x:c r="K10" s="13" t="str"/>
      <x:c r="L10" s="15" t="str">
        <x:f>IF(A10="","",AVERAGE(E10:K10))</x:f>
      </x:c>
      <x:c r="M10" s="13" t="str">
        <x:f>IF(A10="","",IF(AND(L10&gt;=3.5,E10&gt;=4),"Accept",IF(L10&gt;=3,"Negotiate","Reject")))</x:f>
      </x:c>
      <x:c r="N10" s="13" t="str"/>
    </x:row>
    <x:row r="11">
      <x:c r="A11" s="13" t="str"/>
      <x:c r="B11" s="13" t="str"/>
      <x:c r="C11" s="20" t="str"/>
      <x:c r="D11" s="13" t="str">
        <x:v>USD</x:v>
      </x:c>
      <x:c r="E11" s="13" t="str"/>
      <x:c r="F11" s="13" t="str"/>
      <x:c r="G11" s="13" t="str"/>
      <x:c r="H11" s="13" t="str"/>
      <x:c r="I11" s="13" t="str"/>
      <x:c r="J11" s="13" t="str"/>
      <x:c r="K11" s="13" t="str"/>
      <x:c r="L11" s="15" t="str">
        <x:f>IF(A11="","",AVERAGE(E11:K11))</x:f>
      </x:c>
      <x:c r="M11" s="13" t="str">
        <x:f>IF(A11="","",IF(AND(L11&gt;=3.5,E11&gt;=4),"Accept",IF(L11&gt;=3,"Negotiate","Reject")))</x:f>
      </x:c>
      <x:c r="N11" s="13" t="str"/>
    </x:row>
    <x:row r="12">
      <x:c r="A12" s="13" t="str"/>
      <x:c r="B12" s="13" t="str"/>
      <x:c r="C12" s="20" t="str"/>
      <x:c r="D12" s="13" t="str">
        <x:v>USD</x:v>
      </x:c>
      <x:c r="E12" s="13" t="str"/>
      <x:c r="F12" s="13" t="str"/>
      <x:c r="G12" s="13" t="str"/>
      <x:c r="H12" s="13" t="str"/>
      <x:c r="I12" s="13" t="str"/>
      <x:c r="J12" s="13" t="str"/>
      <x:c r="K12" s="13" t="str"/>
      <x:c r="L12" s="15" t="str">
        <x:f>IF(A12="","",AVERAGE(E12:K12))</x:f>
      </x:c>
      <x:c r="M12" s="13" t="str">
        <x:f>IF(A12="","",IF(AND(L12&gt;=3.5,E12&gt;=4),"Accept",IF(L12&gt;=3,"Negotiate","Reject")))</x:f>
      </x:c>
      <x:c r="N12" s="13" t="str"/>
    </x:row>
    <x:row r="13">
      <x:c r="A13" s="13" t="str"/>
      <x:c r="B13" s="13" t="str"/>
      <x:c r="C13" s="20" t="str"/>
      <x:c r="D13" s="13" t="str">
        <x:v>USD</x:v>
      </x:c>
      <x:c r="E13" s="13" t="str"/>
      <x:c r="F13" s="13" t="str"/>
      <x:c r="G13" s="13" t="str"/>
      <x:c r="H13" s="13" t="str"/>
      <x:c r="I13" s="13" t="str"/>
      <x:c r="J13" s="13" t="str"/>
      <x:c r="K13" s="13" t="str"/>
      <x:c r="L13" s="15" t="str">
        <x:f>IF(A13="","",AVERAGE(E13:K13))</x:f>
      </x:c>
      <x:c r="M13" s="13" t="str">
        <x:f>IF(A13="","",IF(AND(L13&gt;=3.5,E13&gt;=4),"Accept",IF(L13&gt;=3,"Negotiate","Reject")))</x:f>
      </x:c>
      <x:c r="N13" s="13" t="str"/>
    </x:row>
    <x:row r="14">
      <x:c r="A14" s="13" t="str"/>
      <x:c r="B14" s="13" t="str"/>
      <x:c r="C14" s="20" t="str"/>
      <x:c r="D14" s="13" t="str">
        <x:v>USD</x:v>
      </x:c>
      <x:c r="E14" s="13" t="str"/>
      <x:c r="F14" s="13" t="str"/>
      <x:c r="G14" s="13" t="str"/>
      <x:c r="H14" s="13" t="str"/>
      <x:c r="I14" s="13" t="str"/>
      <x:c r="J14" s="13" t="str"/>
      <x:c r="K14" s="13" t="str"/>
      <x:c r="L14" s="15" t="str">
        <x:f>IF(A14="","",AVERAGE(E14:K14))</x:f>
      </x:c>
      <x:c r="M14" s="13" t="str">
        <x:f>IF(A14="","",IF(AND(L14&gt;=3.5,E14&gt;=4),"Accept",IF(L14&gt;=3,"Negotiate","Reject")))</x:f>
      </x:c>
      <x:c r="N14" s="13" t="str"/>
    </x:row>
    <x:row r="15">
      <x:c r="A15" s="13" t="str"/>
      <x:c r="B15" s="13" t="str"/>
      <x:c r="C15" s="20" t="str"/>
      <x:c r="D15" s="13" t="str">
        <x:v>USD</x:v>
      </x:c>
      <x:c r="E15" s="13" t="str"/>
      <x:c r="F15" s="13" t="str"/>
      <x:c r="G15" s="13" t="str"/>
      <x:c r="H15" s="13" t="str"/>
      <x:c r="I15" s="13" t="str"/>
      <x:c r="J15" s="13" t="str"/>
      <x:c r="K15" s="13" t="str"/>
      <x:c r="L15" s="15" t="str">
        <x:f>IF(A15="","",AVERAGE(E15:K15))</x:f>
      </x:c>
      <x:c r="M15" s="13" t="str">
        <x:f>IF(A15="","",IF(AND(L15&gt;=3.5,E15&gt;=4),"Accept",IF(L15&gt;=3,"Negotiate","Reject")))</x:f>
      </x:c>
      <x:c r="N15" s="13" t="str"/>
    </x:row>
    <x:row r="16">
      <x:c r="A16" s="13" t="str"/>
      <x:c r="B16" s="13" t="str"/>
      <x:c r="C16" s="20" t="str"/>
      <x:c r="D16" s="13" t="str">
        <x:v>USD</x:v>
      </x:c>
      <x:c r="E16" s="13" t="str"/>
      <x:c r="F16" s="13" t="str"/>
      <x:c r="G16" s="13" t="str"/>
      <x:c r="H16" s="13" t="str"/>
      <x:c r="I16" s="13" t="str"/>
      <x:c r="J16" s="13" t="str"/>
      <x:c r="K16" s="13" t="str"/>
      <x:c r="L16" s="15" t="str">
        <x:f>IF(A16="","",AVERAGE(E16:K16))</x:f>
      </x:c>
      <x:c r="M16" s="13" t="str">
        <x:f>IF(A16="","",IF(AND(L16&gt;=3.5,E16&gt;=4),"Accept",IF(L16&gt;=3,"Negotiate","Reject")))</x:f>
      </x:c>
      <x:c r="N16" s="13" t="str"/>
    </x:row>
    <x:row r="17">
      <x:c r="A17" s="13" t="str"/>
      <x:c r="B17" s="13" t="str"/>
      <x:c r="C17" s="20" t="str"/>
      <x:c r="D17" s="13" t="str">
        <x:v>USD</x:v>
      </x:c>
      <x:c r="E17" s="13" t="str"/>
      <x:c r="F17" s="13" t="str"/>
      <x:c r="G17" s="13" t="str"/>
      <x:c r="H17" s="13" t="str"/>
      <x:c r="I17" s="13" t="str"/>
      <x:c r="J17" s="13" t="str"/>
      <x:c r="K17" s="13" t="str"/>
      <x:c r="L17" s="15" t="str">
        <x:f>IF(A17="","",AVERAGE(E17:K17))</x:f>
      </x:c>
      <x:c r="M17" s="13" t="str">
        <x:f>IF(A17="","",IF(AND(L17&gt;=3.5,E17&gt;=4),"Accept",IF(L17&gt;=3,"Negotiate","Reject")))</x:f>
      </x:c>
      <x:c r="N17" s="13" t="str"/>
    </x:row>
    <x:row r="18">
      <x:c r="A18" s="13" t="str"/>
      <x:c r="B18" s="13" t="str"/>
      <x:c r="C18" s="20" t="str"/>
      <x:c r="D18" s="13" t="str">
        <x:v>USD</x:v>
      </x:c>
      <x:c r="E18" s="13" t="str"/>
      <x:c r="F18" s="13" t="str"/>
      <x:c r="G18" s="13" t="str"/>
      <x:c r="H18" s="13" t="str"/>
      <x:c r="I18" s="13" t="str"/>
      <x:c r="J18" s="13" t="str"/>
      <x:c r="K18" s="13" t="str"/>
      <x:c r="L18" s="15" t="str">
        <x:f>IF(A18="","",AVERAGE(E18:K18))</x:f>
      </x:c>
      <x:c r="M18" s="13" t="str">
        <x:f>IF(A18="","",IF(AND(L18&gt;=3.5,E18&gt;=4),"Accept",IF(L18&gt;=3,"Negotiate","Reject")))</x:f>
      </x:c>
      <x:c r="N18" s="13" t="str"/>
    </x:row>
    <x:row r="19">
      <x:c r="A19" s="13" t="str"/>
      <x:c r="B19" s="13" t="str"/>
      <x:c r="C19" s="20" t="str"/>
      <x:c r="D19" s="13" t="str">
        <x:v>USD</x:v>
      </x:c>
      <x:c r="E19" s="13" t="str"/>
      <x:c r="F19" s="13" t="str"/>
      <x:c r="G19" s="13" t="str"/>
      <x:c r="H19" s="13" t="str"/>
      <x:c r="I19" s="13" t="str"/>
      <x:c r="J19" s="13" t="str"/>
      <x:c r="K19" s="13" t="str"/>
      <x:c r="L19" s="15" t="str">
        <x:f>IF(A19="","",AVERAGE(E19:K19))</x:f>
      </x:c>
      <x:c r="M19" s="13" t="str">
        <x:f>IF(A19="","",IF(AND(L19&gt;=3.5,E19&gt;=4),"Accept",IF(L19&gt;=3,"Negotiate","Reject")))</x:f>
      </x:c>
      <x:c r="N19" s="13" t="str"/>
    </x:row>
    <x:row r="20">
      <x:c r="A20" s="13" t="str"/>
      <x:c r="B20" s="13" t="str"/>
      <x:c r="C20" s="20" t="str"/>
      <x:c r="D20" s="13" t="str">
        <x:v>USD</x:v>
      </x:c>
      <x:c r="E20" s="13" t="str"/>
      <x:c r="F20" s="13" t="str"/>
      <x:c r="G20" s="13" t="str"/>
      <x:c r="H20" s="13" t="str"/>
      <x:c r="I20" s="13" t="str"/>
      <x:c r="J20" s="13" t="str"/>
      <x:c r="K20" s="13" t="str"/>
      <x:c r="L20" s="15" t="str">
        <x:f>IF(A20="","",AVERAGE(E20:K20))</x:f>
      </x:c>
      <x:c r="M20" s="13" t="str">
        <x:f>IF(A20="","",IF(AND(L20&gt;=3.5,E20&gt;=4),"Accept",IF(L20&gt;=3,"Negotiate","Reject")))</x:f>
      </x:c>
      <x:c r="N20" s="13" t="str"/>
    </x:row>
    <x:row r="21">
      <x:c r="A21" s="13" t="str"/>
      <x:c r="B21" s="13" t="str"/>
      <x:c r="C21" s="20" t="str"/>
      <x:c r="D21" s="13" t="str">
        <x:v>USD</x:v>
      </x:c>
      <x:c r="E21" s="13" t="str"/>
      <x:c r="F21" s="13" t="str"/>
      <x:c r="G21" s="13" t="str"/>
      <x:c r="H21" s="13" t="str"/>
      <x:c r="I21" s="13" t="str"/>
      <x:c r="J21" s="13" t="str"/>
      <x:c r="K21" s="13" t="str"/>
      <x:c r="L21" s="15" t="str">
        <x:f>IF(A21="","",AVERAGE(E21:K21))</x:f>
      </x:c>
      <x:c r="M21" s="13" t="str">
        <x:f>IF(A21="","",IF(AND(L21&gt;=3.5,E21&gt;=4),"Accept",IF(L21&gt;=3,"Negotiate","Reject")))</x:f>
      </x:c>
      <x:c r="N21" s="13" t="str"/>
    </x:row>
    <x:row r="22">
      <x:c r="A22" s="13" t="str"/>
      <x:c r="B22" s="13" t="str"/>
      <x:c r="C22" s="20" t="str"/>
      <x:c r="D22" s="13" t="str">
        <x:v>USD</x:v>
      </x:c>
      <x:c r="E22" s="13" t="str"/>
      <x:c r="F22" s="13" t="str"/>
      <x:c r="G22" s="13" t="str"/>
      <x:c r="H22" s="13" t="str"/>
      <x:c r="I22" s="13" t="str"/>
      <x:c r="J22" s="13" t="str"/>
      <x:c r="K22" s="13" t="str"/>
      <x:c r="L22" s="15" t="str">
        <x:f>IF(A22="","",AVERAGE(E22:K22))</x:f>
      </x:c>
      <x:c r="M22" s="13" t="str">
        <x:f>IF(A22="","",IF(AND(L22&gt;=3.5,E22&gt;=4),"Accept",IF(L22&gt;=3,"Negotiate","Reject")))</x:f>
      </x:c>
      <x:c r="N22" s="13" t="str"/>
    </x:row>
    <x:row r="23">
      <x:c r="A23" s="13" t="str"/>
      <x:c r="B23" s="13" t="str"/>
      <x:c r="C23" s="20" t="str"/>
      <x:c r="D23" s="13" t="str">
        <x:v>USD</x:v>
      </x:c>
      <x:c r="E23" s="13" t="str"/>
      <x:c r="F23" s="13" t="str"/>
      <x:c r="G23" s="13" t="str"/>
      <x:c r="H23" s="13" t="str"/>
      <x:c r="I23" s="13" t="str"/>
      <x:c r="J23" s="13" t="str"/>
      <x:c r="K23" s="13" t="str"/>
      <x:c r="L23" s="15" t="str">
        <x:f>IF(A23="","",AVERAGE(E23:K23))</x:f>
      </x:c>
      <x:c r="M23" s="13" t="str">
        <x:f>IF(A23="","",IF(AND(L23&gt;=3.5,E23&gt;=4),"Accept",IF(L23&gt;=3,"Negotiate","Reject")))</x:f>
      </x:c>
      <x:c r="N23" s="13" t="str"/>
    </x:row>
    <x:row r="24">
      <x:c r="A24" s="13" t="str"/>
      <x:c r="B24" s="13" t="str"/>
      <x:c r="C24" s="20" t="str"/>
      <x:c r="D24" s="13" t="str">
        <x:v>USD</x:v>
      </x:c>
      <x:c r="E24" s="13" t="str"/>
      <x:c r="F24" s="13" t="str"/>
      <x:c r="G24" s="13" t="str"/>
      <x:c r="H24" s="13" t="str"/>
      <x:c r="I24" s="13" t="str"/>
      <x:c r="J24" s="13" t="str"/>
      <x:c r="K24" s="13" t="str"/>
      <x:c r="L24" s="15" t="str">
        <x:f>IF(A24="","",AVERAGE(E24:K24))</x:f>
      </x:c>
      <x:c r="M24" s="13" t="str">
        <x:f>IF(A24="","",IF(AND(L24&gt;=3.5,E24&gt;=4),"Accept",IF(L24&gt;=3,"Negotiate","Reject")))</x:f>
      </x:c>
      <x:c r="N24" s="13" t="str"/>
    </x:row>
    <x:row r="25">
      <x:c r="A25" s="13" t="str"/>
      <x:c r="B25" s="13" t="str"/>
      <x:c r="C25" s="20" t="str"/>
      <x:c r="D25" s="13" t="str">
        <x:v>USD</x:v>
      </x:c>
      <x:c r="E25" s="13" t="str"/>
      <x:c r="F25" s="13" t="str"/>
      <x:c r="G25" s="13" t="str"/>
      <x:c r="H25" s="13" t="str"/>
      <x:c r="I25" s="13" t="str"/>
      <x:c r="J25" s="13" t="str"/>
      <x:c r="K25" s="13" t="str"/>
      <x:c r="L25" s="15" t="str">
        <x:f>IF(A25="","",AVERAGE(E25:K25))</x:f>
      </x:c>
      <x:c r="M25" s="13" t="str">
        <x:f>IF(A25="","",IF(AND(L25&gt;=3.5,E25&gt;=4),"Accept",IF(L25&gt;=3,"Negotiate","Reject")))</x:f>
      </x:c>
      <x:c r="N25" s="13" t="str"/>
    </x:row>
  </x:sheetData>
  <x:mergeCells>
    <x:mergeCell ref="A1:N1"/>
    <x:mergeCell ref="A2:N2"/>
  </x:mergeCells>
  <x:dataValidations count="9">
    <x:dataValidation type="whole" operator="between" sqref="E6:E25">
      <x:formula1>1</x:formula1>
      <x:formula2>5</x:formula2>
    </x:dataValidation>
    <x:dataValidation type="whole" operator="between" sqref="F6:F25">
      <x:formula1>1</x:formula1>
      <x:formula2>5</x:formula2>
    </x:dataValidation>
    <x:dataValidation type="whole" operator="between" sqref="G6:G25">
      <x:formula1>1</x:formula1>
      <x:formula2>5</x:formula2>
    </x:dataValidation>
    <x:dataValidation type="whole" operator="between" sqref="H6:H25">
      <x:formula1>1</x:formula1>
      <x:formula2>5</x:formula2>
    </x:dataValidation>
    <x:dataValidation type="whole" operator="between" sqref="I6:I25">
      <x:formula1>1</x:formula1>
      <x:formula2>5</x:formula2>
    </x:dataValidation>
    <x:dataValidation type="whole" operator="between" sqref="J6:J25">
      <x:formula1>1</x:formula1>
      <x:formula2>5</x:formula2>
    </x:dataValidation>
    <x:dataValidation type="whole" operator="between" sqref="K6:K25">
      <x:formula1>1</x:formula1>
      <x:formula2>5</x:formula2>
    </x:dataValidation>
    <x:dataValidation type="list" sqref="D6:D25">
      <x:formula1>"COP,USD,EUR"</x:formula1>
    </x:dataValidation>
    <x:dataValidation type="list" sqref="M6:M25">
      <x:formula1>"Accept,Negotiate,Reject,Pause"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7a554e7ecc47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0" hidden="0" customWidth="1"/>
    <x:col min="4" max="4" width="23.75" hidden="0" customWidth="1"/>
    <x:col min="5" max="5" width="18.75" hidden="0" customWidth="1"/>
    <x:col min="6" max="6" width="12.5" hidden="0" customWidth="1"/>
    <x:col min="7" max="7" width="12.5" hidden="0" customWidth="1"/>
    <x:col min="8" max="8" width="42.5" hidden="0" customWidth="1"/>
  </x:cols>
  <x:sheetData>
    <x:row r="1">
      <x:c r="A1" s="3" t="str">
        <x:v>Lists and Rules</x:v>
      </x:c>
      <x:c r="B1" s="3" t="str">
        <x:v>Lists and Rules</x:v>
      </x:c>
      <x:c r="C1" s="3" t="str">
        <x:v>Lists and Rules</x:v>
      </x:c>
      <x:c r="D1" s="3" t="str">
        <x:v>Lists and Rules</x:v>
      </x:c>
      <x:c r="E1" s="3" t="str">
        <x:v>Lists and Rules</x:v>
      </x:c>
      <x:c r="F1" s="3" t="str">
        <x:v>Lists and Rules</x:v>
      </x:c>
      <x:c r="G1" s="3" t="str">
        <x:v>Lists and Rules</x:v>
      </x:c>
      <x:c r="H1" s="3" t="str">
        <x:v>Lists and Rules</x:v>
      </x:c>
    </x:row>
    <x:row r="2">
      <x:c r="A2" s="6" t="str">
        <x:v>Dropdown values, scoring rules and canonical notes.</x:v>
      </x:c>
      <x:c r="B2" s="6" t="str">
        <x:v>Dropdown values, scoring rules and canonical notes.</x:v>
      </x:c>
      <x:c r="C2" s="6" t="str">
        <x:v>Dropdown values, scoring rules and canonical notes.</x:v>
      </x:c>
      <x:c r="D2" s="6" t="str">
        <x:v>Dropdown values, scoring rules and canonical notes.</x:v>
      </x:c>
      <x:c r="E2" s="6" t="str">
        <x:v>Dropdown values, scoring rules and canonical notes.</x:v>
      </x:c>
      <x:c r="F2" s="6" t="str">
        <x:v>Dropdown values, scoring rules and canonical notes.</x:v>
      </x:c>
      <x:c r="G2" s="6" t="str">
        <x:v>Dropdown values, scoring rules and canonical notes.</x:v>
      </x:c>
      <x:c r="H2" s="6" t="str">
        <x:v>Dropdown values, scoring rules and canonical notes.</x:v>
      </x:c>
    </x:row>
    <x:row r="5">
      <x:c r="A5" s="9" t="str">
        <x:v>Statuses</x:v>
      </x:c>
      <x:c r="B5" s="9" t="str">
        <x:v>App Statuses</x:v>
      </x:c>
      <x:c r="C5" s="9" t="str">
        <x:v>Layers</x:v>
      </x:c>
      <x:c r="D5" s="9" t="str">
        <x:v>Role Families</x:v>
      </x:c>
      <x:c r="E5" s="9" t="str">
        <x:v>Contracts</x:v>
      </x:c>
      <x:c r="F5" s="9" t="str">
        <x:v>Yes/No</x:v>
      </x:c>
      <x:c r="G5" s="9" t="str">
        <x:v>Priorities</x:v>
      </x:c>
      <x:c r="H5" s="9" t="str">
        <x:v>Canonical Rules</x:v>
      </x:c>
    </x:row>
    <x:row r="6">
      <x:c r="A6" s="13" t="str">
        <x:v>Not Started</x:v>
      </x:c>
      <x:c r="B6" s="13" t="str">
        <x:v>Saved</x:v>
      </x:c>
      <x:c r="C6" s="13" t="str">
        <x:v>A1</x:v>
      </x:c>
      <x:c r="D6" s="13" t="str">
        <x:v>Unity Technical Artist</x:v>
      </x:c>
      <x:c r="E6" s="13" t="str">
        <x:v>Contractor/B2B</x:v>
      </x:c>
      <x:c r="F6" s="13" t="str">
        <x:v>Yes</x:v>
      </x:c>
      <x:c r="G6" s="13" t="str">
        <x:v>High</x:v>
      </x:c>
      <x:c r="H6" s="13" t="str">
        <x:v>Portuguese passport expected around 2028</x:v>
      </x:c>
    </x:row>
    <x:row r="7">
      <x:c r="A7" s="13" t="str">
        <x:v>In Progress</x:v>
      </x:c>
      <x:c r="B7" s="13" t="str">
        <x:v>Applied</x:v>
      </x:c>
      <x:c r="C7" s="13" t="str">
        <x:v>A2</x:v>
      </x:c>
      <x:c r="D7" s="13" t="str">
        <x:v>Unity WebGL</x:v>
      </x:c>
      <x:c r="E7" s="13" t="str">
        <x:v>EOR</x:v>
      </x:c>
      <x:c r="F7" s="13" t="str">
        <x:v>No</x:v>
      </x:c>
      <x:c r="G7" s="13" t="str">
        <x:v>Medium</x:v>
      </x:c>
      <x:c r="H7" s="13" t="str">
        <x:v>No current EU work authorization claim</x:v>
      </x:c>
    </x:row>
    <x:row r="8">
      <x:c r="A8" s="13" t="str">
        <x:v>Blocked</x:v>
      </x:c>
      <x:c r="B8" s="13" t="str">
        <x:v>Contacted</x:v>
      </x:c>
      <x:c r="C8" s="13" t="str">
        <x:v>B1</x:v>
      </x:c>
      <x:c r="D8" s="13" t="str">
        <x:v>Technical Visualization</x:v>
      </x:c>
      <x:c r="E8" s="13" t="str">
        <x:v>Employee</x:v>
      </x:c>
      <x:c r="F8" s="13" t="str">
        <x:v>Partial</x:v>
      </x:c>
      <x:c r="G8" s="13" t="str">
        <x:v>Low</x:v>
      </x:c>
      <x:c r="H8" s="13" t="str">
        <x:v>Primary role: Unity Technical Artist</x:v>
      </x:c>
    </x:row>
    <x:row r="9">
      <x:c r="A9" s="13" t="str">
        <x:v>Done</x:v>
      </x:c>
      <x:c r="B9" s="13" t="str">
        <x:v>Interview</x:v>
      </x:c>
      <x:c r="C9" s="13" t="str">
        <x:v>B2</x:v>
      </x:c>
      <x:c r="D9" s="13" t="str">
        <x:v>XR/Simulation</x:v>
      </x:c>
      <x:c r="E9" s="13" t="str">
        <x:v>Freelance Project</x:v>
      </x:c>
      <x:c r="F9" s="13" t="str">
        <x:v>Unknown</x:v>
      </x:c>
      <x:c r="G9" s="13" t="str"/>
      <x:c r="H9" s="13" t="str">
        <x:v>Accept 3M COP only if field-aligned</x:v>
      </x:c>
    </x:row>
    <x:row r="10">
      <x:c r="A10" s="13" t="str">
        <x:v>Paused</x:v>
      </x:c>
      <x:c r="B10" s="13" t="str">
        <x:v>Test</x:v>
      </x:c>
      <x:c r="C10" s="13" t="str">
        <x:v>C</x:v>
      </x:c>
      <x:c r="D10" s="13" t="str">
        <x:v>Python/AI Tooling</x:v>
      </x:c>
      <x:c r="E10" s="13" t="str">
        <x:v>Unknown</x:v>
      </x:c>
      <x:c r="F10" s="13" t="str"/>
      <x:c r="G10" s="13" t="str"/>
      <x:c r="H10" s="13" t="str">
        <x:v>Ideal realistic target: USD 2000</x:v>
      </x:c>
    </x:row>
    <x:row r="11">
      <x:c r="A11" s="13" t="str"/>
      <x:c r="B11" s="13" t="str">
        <x:v>Offer</x:v>
      </x:c>
      <x:c r="C11" s="13" t="str">
        <x:v>Watchlist</x:v>
      </x:c>
      <x:c r="D11" s="13" t="str">
        <x:v>3D/Blender</x:v>
      </x:c>
      <x:c r="E11" s="13" t="str"/>
      <x:c r="F11" s="13" t="str"/>
      <x:c r="G11" s="13" t="str"/>
      <x:c r="H11" s="13" t="str">
        <x:v>Ambitious target: USD 6000</x:v>
      </x:c>
    </x:row>
    <x:row r="12">
      <x:c r="A12" s="13" t="str"/>
      <x:c r="B12" s="13" t="str">
        <x:v>Rejected</x:v>
      </x:c>
      <x:c r="C12" s="13" t="str"/>
      <x:c r="D12" s="13" t="str">
        <x:v>Marketing-adjacent</x:v>
      </x:c>
      <x:c r="E12" s="13" t="str"/>
      <x:c r="F12" s="13" t="str"/>
      <x:c r="G12" s="13" t="str"/>
      <x:c r="H12" s="13" t="str">
        <x:v>Avoid pure marketing</x:v>
      </x:c>
    </x:row>
    <x:row r="13">
      <x:c r="A13" s="13" t="str"/>
      <x:c r="B13" s="13" t="str">
        <x:v>No Fit</x:v>
      </x:c>
      <x:c r="C13" s="13" t="str"/>
      <x:c r="D13" s="13" t="str"/>
      <x:c r="E13" s="13" t="str"/>
      <x:c r="F13" s="13" t="str"/>
      <x:c r="G13" s="13" t="str"/>
      <x:c r="H13" s="13" t="str">
        <x:v>TwinSight is technical visualization, not live IoT digital twin</x:v>
      </x:c>
    </x:row>
    <x:row r="14">
      <x:c r="A14" s="13" t="str"/>
      <x:c r="B14" s="13" t="str">
        <x:v>Paused</x:v>
      </x:c>
      <x:c r="C14" s="13" t="str"/>
      <x:c r="D14" s="13" t="str"/>
      <x:c r="E14" s="13" t="str"/>
      <x:c r="F14" s="13" t="str"/>
      <x:c r="G14" s="13" t="str"/>
      <x:c r="H14" s="13" t="str"/>
    </x:row>
  </x:sheetData>
  <x:mergeCells>
    <x:mergeCell ref="A1:H1"/>
    <x:mergeCell ref="A2:H2"/>
  </x:mergeCells>
  <x:pageMargins left="0.7" right="0.7" top="0.75" bottom="0.75" header="0.3" footer="0.3"/>
</x:worksheet>
</file>