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Catálogo" sheetId="3" state="visible" r:id="rId3"/>
    <sheet xmlns:r="http://schemas.openxmlformats.org/officeDocument/2006/relationships" name="Resumen Servicios" sheetId="4" state="visible" r:id="rId4"/>
    <sheet xmlns:r="http://schemas.openxmlformats.org/officeDocument/2006/relationships" name="Cotizador Web" sheetId="5" state="visible" r:id="rId5"/>
    <sheet xmlns:r="http://schemas.openxmlformats.org/officeDocument/2006/relationships" name="Benchmark CO vs Intl" sheetId="6" state="visible" r:id="rId6"/>
  </sheets>
  <definedNames>
    <definedName name="_xlnm._FilterDatabase" localSheetId="2" hidden="1">'Catálogo'!$A$1:$AA$115</definedName>
    <definedName name="_xlnm._FilterDatabase" localSheetId="3" hidden="1">'Resumen Servicios'!$A$1:$Y$29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9">
    <font>
      <name val="Calibri"/>
      <family val="2"/>
      <color theme="1"/>
      <sz val="11"/>
      <scheme val="minor"/>
    </font>
    <font>
      <b val="1"/>
      <color rgb="001d1d1f"/>
      <sz val="14"/>
    </font>
    <font>
      <b val="1"/>
      <sz val="12"/>
    </font>
    <font>
      <b val="1"/>
      <sz val="10.5"/>
    </font>
    <font>
      <b val="1"/>
      <color rgb="00FFFFFF"/>
      <sz val="10"/>
    </font>
    <font>
      <b val="1"/>
    </font>
    <font>
      <b val="1"/>
      <sz val="10"/>
    </font>
    <font>
      <i val="1"/>
      <sz val="9"/>
    </font>
    <font>
      <b val="1"/>
      <color rgb="000071e3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Verificación de tiempos y precios — Cotizador Web (Alexander Woodcock)</t>
        </is>
      </c>
    </row>
    <row r="2">
      <c r="A2" s="2" t="inlineStr"/>
    </row>
    <row r="3">
      <c r="A3" t="inlineStr">
        <is>
          <t>PROPÓSITO: verificar por tu cuenta que los tiempos y precios que muestra la web son correctos,</t>
        </is>
      </c>
    </row>
    <row r="4">
      <c r="A4" t="inlineStr">
        <is>
          <t>y ajustar las horas según lo que realmente te demora. TODAS las cifras salen del mismo motor</t>
        </is>
      </c>
    </row>
    <row r="5">
      <c r="A5" t="inlineStr">
        <is>
          <t>que usa la web (catalogCore.ts + rateCard.ts) — este Excel replica sus fórmulas.</t>
        </is>
      </c>
    </row>
    <row r="6">
      <c r="A6" t="inlineStr"/>
    </row>
    <row r="7">
      <c r="A7" s="3" t="inlineStr">
        <is>
          <t>CÓMO USARLO:</t>
        </is>
      </c>
    </row>
    <row r="8">
      <c r="A8" s="3" t="inlineStr">
        <is>
          <t>1. Hoja CATÁLOGO: edita las HORAS (columnas min/max por nivel) de cualquier subtarea.</t>
        </is>
      </c>
    </row>
    <row r="9">
      <c r="A9" t="inlineStr">
        <is>
          <t xml:space="preserve">   Los precios COP de esa fila se recalculan solos (horas × tarifa por rol).</t>
        </is>
      </c>
    </row>
    <row r="10">
      <c r="A10" s="3" t="inlineStr">
        <is>
          <t>2. Hoja RESUMEN: totales por servicio y nivel (SUMIFS sobre Catálogo), con redondeo</t>
        </is>
      </c>
    </row>
    <row r="11">
      <c r="A11" t="inlineStr">
        <is>
          <t xml:space="preserve">   igual al de la web (mínimo hacia abajo, máximo hacia arriba, paso $1.000 COP).</t>
        </is>
      </c>
    </row>
    <row r="12">
      <c r="A12" s="3" t="inlineStr">
        <is>
          <t>3. Hoja TARIFAS: tarifa por rol COP/USD + benchmark Colombia/internacional.</t>
        </is>
      </c>
    </row>
    <row r="13">
      <c r="A13" t="inlineStr">
        <is>
          <t xml:space="preserve">   Si cambias una tarifa ahí, TODO el Excel y los precios se recalculan.</t>
        </is>
      </c>
    </row>
    <row r="14">
      <c r="A14" s="3" t="inlineStr">
        <is>
          <t>4. Hoja COTIZADOR WEB: qué decisión del wizard afecta qué tarea, con los umbrales</t>
        </is>
      </c>
    </row>
    <row r="15">
      <c r="A15" t="inlineStr">
        <is>
          <t xml:space="preserve">   exactos (tierMaps) y ejemplos resueltos para verificar contra la web.</t>
        </is>
      </c>
    </row>
    <row r="16">
      <c r="A16" t="inlineStr"/>
    </row>
    <row r="17">
      <c r="A17" s="3" t="inlineStr">
        <is>
          <t>CIFRAS = subtotal base (horas × tarifa), SIN descuento de lanzamiento (−25%),</t>
        </is>
      </c>
    </row>
    <row r="18">
      <c r="A18" t="inlineStr">
        <is>
          <t>sin bundle (−5/−10%) y sin urgencia (+30/50%). Esos multiplicadores se aplican aparte.</t>
        </is>
      </c>
    </row>
    <row r="19">
      <c r="A19" t="inlineStr">
        <is>
          <t>La web redondea: subtotal min hacia abajo, max hacia arriba, paso $1.000 COP.</t>
        </is>
      </c>
    </row>
    <row r="20">
      <c r="A20" t="inlineStr"/>
    </row>
    <row r="21">
      <c r="A21" s="3" t="inlineStr">
        <is>
          <t>REGLA ESCALAR (importante): los servicios sin horas XS (WEB-01, WEB-04, RTA-01…,</t>
        </is>
      </c>
    </row>
    <row r="22">
      <c r="A22" t="inlineStr">
        <is>
          <t>21 en total) muestran en XS el precio del tier S — la web nunca muestra $0.</t>
        </is>
      </c>
    </row>
    <row r="23">
      <c r="A23" t="inlineStr">
        <is>
          <t>Este Excel replica esa regla con fórmulas SI(...) en las columnas XS.</t>
        </is>
      </c>
    </row>
    <row r="24">
      <c r="A24" t="inlineStr"/>
    </row>
    <row r="25">
      <c r="A25" t="inlineStr">
        <is>
          <t>CONEXIÓN CON LA WEB: los números de Resumen Servicios son EXACTAMENTE los que</t>
        </is>
      </c>
    </row>
    <row r="26">
      <c r="A26" t="inlineStr">
        <is>
          <t>muestra el cotizador en el panel de precio (mismo motor computeQuote). Verificado</t>
        </is>
      </c>
    </row>
    <row r="27">
      <c r="A27" t="inlineStr">
        <is>
          <t>matriz completa 28 servicios × 5 niveles = 140/140 coinciden (ciclo 8).</t>
        </is>
      </c>
    </row>
    <row r="28">
      <c r="A28" t="inlineStr">
        <is>
          <t>La web muestra en el wizard 8 servicios (Web 3D + CAD); el catálogo de esta hoja</t>
        </is>
      </c>
    </row>
    <row r="29">
      <c r="A29" t="inlineStr">
        <is>
          <t>tiene los 28 — los demás usan el mismo cálculo.</t>
        </is>
      </c>
    </row>
    <row r="30">
      <c r="A30" t="inlineStr"/>
    </row>
    <row r="31">
      <c r="A31" s="3" t="inlineStr">
        <is>
          <t>REGLA DE ENTREGA (días hábiles) usada por la web: ≈ horas_max ÷ 5,5 con colchón.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46" customWidth="1" min="4" max="4"/>
    <col width="11" customWidth="1" min="5" max="5"/>
    <col width="11" customWidth="1" min="6" max="6"/>
  </cols>
  <sheetData>
    <row r="1">
      <c r="A1" s="1" t="inlineStr">
        <is>
          <t>Tarifa por rol — base de todos los cálculos</t>
        </is>
      </c>
    </row>
    <row r="3">
      <c r="A3" s="4" t="inlineStr">
        <is>
          <t>Rol</t>
        </is>
      </c>
      <c r="B3" s="4" t="inlineStr">
        <is>
          <t>Clase</t>
        </is>
      </c>
      <c r="C3" s="4" t="inlineStr">
        <is>
          <t>COP min/h</t>
        </is>
      </c>
      <c r="D3" s="4" t="inlineStr">
        <is>
          <t>COP max/h</t>
        </is>
      </c>
      <c r="E3" s="4" t="inlineStr">
        <is>
          <t>USD min/h</t>
        </is>
      </c>
      <c r="F3" s="4" t="inlineStr">
        <is>
          <t>USD max/h</t>
        </is>
      </c>
    </row>
    <row r="4">
      <c r="A4" t="inlineStr">
        <is>
          <t>Arte 3D / Render</t>
        </is>
      </c>
      <c r="B4" t="inlineStr">
        <is>
          <t>RC-ART</t>
        </is>
      </c>
      <c r="C4" s="5" t="n">
        <v>30000</v>
      </c>
      <c r="D4" s="5" t="n">
        <v>42000</v>
      </c>
      <c r="E4" s="5" t="n">
        <v>20</v>
      </c>
      <c r="F4" s="5" t="n">
        <v>28</v>
      </c>
    </row>
    <row r="5">
      <c r="A5" t="inlineStr">
        <is>
          <t>Asset Realtime</t>
        </is>
      </c>
      <c r="B5" t="inlineStr">
        <is>
          <t>RC-RTA</t>
        </is>
      </c>
      <c r="C5" s="5" t="n">
        <v>38000</v>
      </c>
      <c r="D5" s="5" t="n">
        <v>52000</v>
      </c>
      <c r="E5" s="5" t="n">
        <v>25</v>
      </c>
      <c r="F5" s="5" t="n">
        <v>35</v>
      </c>
    </row>
    <row r="6">
      <c r="A6" t="inlineStr">
        <is>
          <t>Dev Web 3D</t>
        </is>
      </c>
      <c r="B6" t="inlineStr">
        <is>
          <t>RC-WEB</t>
        </is>
      </c>
      <c r="C6" s="5" t="n">
        <v>40000</v>
      </c>
      <c r="D6" s="5" t="n">
        <v>57000</v>
      </c>
      <c r="E6" s="5" t="n">
        <v>27</v>
      </c>
      <c r="F6" s="5" t="n">
        <v>38</v>
      </c>
    </row>
    <row r="7">
      <c r="A7" t="inlineStr">
        <is>
          <t>IA aplicada</t>
        </is>
      </c>
      <c r="B7" t="inlineStr">
        <is>
          <t>RC-AI</t>
        </is>
      </c>
      <c r="C7" s="5" t="n">
        <v>42000</v>
      </c>
      <c r="D7" s="5" t="n">
        <v>60000</v>
      </c>
      <c r="E7" s="5" t="n">
        <v>28</v>
      </c>
      <c r="F7" s="5" t="n">
        <v>40</v>
      </c>
    </row>
    <row r="8">
      <c r="A8" t="inlineStr">
        <is>
          <t>Consultoría</t>
        </is>
      </c>
      <c r="B8" t="inlineStr">
        <is>
          <t>RC-CON</t>
        </is>
      </c>
      <c r="C8" s="5" t="n">
        <v>60000</v>
      </c>
      <c r="D8" s="5" t="n">
        <v>82000</v>
      </c>
      <c r="E8" s="5" t="n">
        <v>40</v>
      </c>
      <c r="F8" s="5" t="n">
        <v>55</v>
      </c>
    </row>
    <row r="9">
      <c r="A9" s="6" t="inlineStr">
        <is>
          <t>Proyecto mínimo (COP / USD)</t>
        </is>
      </c>
      <c r="C9" s="5" t="n">
        <v>400000</v>
      </c>
      <c r="E9" s="5" t="n">
        <v>100</v>
      </c>
    </row>
    <row r="11">
      <c r="A11" s="1" t="inlineStr">
        <is>
          <t>Benchmark de mercado (2025-2026) — referencia, no modifica fórmulas</t>
        </is>
      </c>
    </row>
    <row r="12">
      <c r="A12" s="4" t="inlineStr">
        <is>
          <t>Perfil</t>
        </is>
      </c>
      <c r="B12" s="4" t="inlineStr">
        <is>
          <t>Colombia (COP/h)</t>
        </is>
      </c>
      <c r="C12" s="4" t="inlineStr">
        <is>
          <t>Internacional (USD/h)</t>
        </is>
      </c>
      <c r="D12" s="4" t="inlineStr">
        <is>
          <t>Fuente</t>
        </is>
      </c>
    </row>
    <row r="13">
      <c r="A13" t="inlineStr">
        <is>
          <t>Dev frontend general — junior</t>
        </is>
      </c>
      <c r="B13" t="inlineStr">
        <is>
          <t>60.000–100.000</t>
        </is>
      </c>
      <c r="C13" t="inlineStr">
        <is>
          <t>$15–25/h</t>
        </is>
      </c>
      <c r="D13" t="inlineStr">
        <is>
          <t>omarhernandezrey.com</t>
        </is>
      </c>
    </row>
    <row r="14">
      <c r="A14" t="inlineStr">
        <is>
          <t>Dev frontend general — mid/senior</t>
        </is>
      </c>
      <c r="B14" t="inlineStr">
        <is>
          <t>100.000–240.000</t>
        </is>
      </c>
      <c r="C14" t="inlineStr">
        <is>
          <t>$25–60/h</t>
        </is>
      </c>
      <c r="D14" t="inlineStr">
        <is>
          <t>omarhernandezrey.com</t>
        </is>
      </c>
    </row>
    <row r="15">
      <c r="A15" t="inlineStr">
        <is>
          <t>Dev three.js/WebGL (LatAm, empleador)</t>
        </is>
      </c>
      <c r="B15" t="inlineStr">
        <is>
          <t>≈ 80.000–85.000</t>
        </is>
      </c>
      <c r="C15" t="inlineStr">
        <is>
          <t>≈ $20/h</t>
        </is>
      </c>
      <c r="D15" t="inlineStr">
        <is>
          <t>hireinsouth.com</t>
        </is>
      </c>
    </row>
    <row r="16">
      <c r="A16" t="inlineStr">
        <is>
          <t>Modelador 3D con experiencia</t>
        </is>
      </c>
      <c r="B16" t="inlineStr">
        <is>
          <t>40.000–60.000</t>
        </is>
      </c>
      <c r="C16" t="inlineStr">
        <is>
          <t>≈ $10–15/h</t>
        </is>
      </c>
      <c r="D16" t="inlineStr">
        <is>
          <t>comunidad diseñadores industriales CO</t>
        </is>
      </c>
    </row>
    <row r="17">
      <c r="A17" t="inlineStr">
        <is>
          <t>Diseño profesional (tarifario 2025)</t>
        </is>
      </c>
      <c r="B17" t="inlineStr">
        <is>
          <t>≈ 90.000</t>
        </is>
      </c>
      <c r="C17" t="inlineStr">
        <is>
          <t>—</t>
        </is>
      </c>
      <c r="D17" t="inlineStr">
        <is>
          <t>disenadorescolombianos.co</t>
        </is>
      </c>
    </row>
    <row r="18">
      <c r="A18" t="inlineStr">
        <is>
          <t>3D artistas internacionales</t>
        </is>
      </c>
      <c r="B18" t="inlineStr">
        <is>
          <t>≈ 2,8M–4M /día</t>
        </is>
      </c>
      <c r="C18" t="inlineStr">
        <is>
          <t>$700–1.000/día</t>
        </is>
      </c>
      <c r="D18" t="inlineStr">
        <is>
          <t>benchmark global</t>
        </is>
      </c>
    </row>
    <row r="19">
      <c r="A19" t="inlineStr">
        <is>
          <t>Chatbot IA conversacional (proyecto, CO)</t>
        </is>
      </c>
      <c r="B19" t="inlineStr">
        <is>
          <t>6M–16M</t>
        </is>
      </c>
      <c r="C19" t="inlineStr">
        <is>
          <t>$1.500–4.000</t>
        </is>
      </c>
      <c r="D19" t="inlineStr">
        <is>
          <t>consolidaciondigital.com</t>
        </is>
      </c>
    </row>
    <row r="20">
      <c r="A20" t="inlineStr">
        <is>
          <t>Agente IA empresarial (proyecto)</t>
        </is>
      </c>
      <c r="B20" t="inlineStr">
        <is>
          <t>desde 4,9M</t>
        </is>
      </c>
      <c r="C20" t="inlineStr">
        <is>
          <t>$20.000–80.000 (techo intl.)</t>
        </is>
      </c>
      <c r="D20" t="inlineStr">
        <is>
          <t>mentoracolombia.com · kemenystudio.com</t>
        </is>
      </c>
    </row>
    <row r="22">
      <c r="A22" s="7" t="inlineStr">
        <is>
          <t>Lectura: la tarifa RC-WEB actual (40–57 mil COP/h) está por debajo incluso del junior de mercado → margen de reventa sano para la agencia y margen de subida futuro. RC-ART (30–42 mil) está en línea con el modelador local experimentado.</t>
        </is>
      </c>
    </row>
    <row r="23"/>
    <row r="24"/>
  </sheetData>
  <mergeCells count="1">
    <mergeCell ref="A22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38" customWidth="1" min="4" max="4"/>
    <col width="9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4" t="inlineStr">
        <is>
          <t>Servicio ID</t>
        </is>
      </c>
      <c r="B1" s="4" t="inlineStr">
        <is>
          <t>Servicio</t>
        </is>
      </c>
      <c r="C1" s="4" t="inlineStr">
        <is>
          <t>Familia</t>
        </is>
      </c>
      <c r="D1" s="4" t="inlineStr">
        <is>
          <t>Subtarea</t>
        </is>
      </c>
      <c r="E1" s="4" t="inlineStr">
        <is>
          <t>Clase</t>
        </is>
      </c>
      <c r="F1" s="4" t="inlineStr">
        <is>
          <t>XS min</t>
        </is>
      </c>
      <c r="G1" s="4" t="inlineStr">
        <is>
          <t>XS max</t>
        </is>
      </c>
      <c r="H1" s="4" t="inlineStr">
        <is>
          <t>S min</t>
        </is>
      </c>
      <c r="I1" s="4" t="inlineStr">
        <is>
          <t>S max</t>
        </is>
      </c>
      <c r="J1" s="4" t="inlineStr">
        <is>
          <t>M min</t>
        </is>
      </c>
      <c r="K1" s="4" t="inlineStr">
        <is>
          <t>M max</t>
        </is>
      </c>
      <c r="L1" s="4" t="inlineStr">
        <is>
          <t>L min</t>
        </is>
      </c>
      <c r="M1" s="4" t="inlineStr">
        <is>
          <t>L max</t>
        </is>
      </c>
      <c r="N1" s="4" t="inlineStr">
        <is>
          <t>XL min</t>
        </is>
      </c>
      <c r="O1" s="4" t="inlineStr">
        <is>
          <t>XL max</t>
        </is>
      </c>
      <c r="P1" s="4" t="inlineStr">
        <is>
          <t>XS COP min</t>
        </is>
      </c>
      <c r="Q1" s="4" t="inlineStr">
        <is>
          <t>XS COP max</t>
        </is>
      </c>
      <c r="R1" s="4" t="inlineStr">
        <is>
          <t>S COP min</t>
        </is>
      </c>
      <c r="S1" s="4" t="inlineStr">
        <is>
          <t>S COP max</t>
        </is>
      </c>
      <c r="T1" s="4" t="inlineStr">
        <is>
          <t>M COP min</t>
        </is>
      </c>
      <c r="U1" s="4" t="inlineStr">
        <is>
          <t>M COP max</t>
        </is>
      </c>
      <c r="V1" s="4" t="inlineStr">
        <is>
          <t>L COP min</t>
        </is>
      </c>
      <c r="W1" s="4" t="inlineStr">
        <is>
          <t>L COP max</t>
        </is>
      </c>
      <c r="X1" s="4" t="inlineStr">
        <is>
          <t>XL COP min</t>
        </is>
      </c>
      <c r="Y1" s="4" t="inlineStr">
        <is>
          <t>XL COP max</t>
        </is>
      </c>
    </row>
    <row r="2">
      <c r="A2" t="inlineStr">
        <is>
          <t>RND-01</t>
        </is>
      </c>
      <c r="B2" t="inlineStr">
        <is>
          <t>Render 3D estatico</t>
        </is>
      </c>
      <c r="C2" t="inlineStr">
        <is>
          <t>render</t>
        </is>
      </c>
      <c r="D2" t="inlineStr">
        <is>
          <t>Brief + moodboard</t>
        </is>
      </c>
      <c r="E2" t="inlineStr">
        <is>
          <t>RC-ART</t>
        </is>
      </c>
      <c r="F2" s="8" t="n">
        <v>0.5</v>
      </c>
      <c r="G2" s="8" t="n">
        <v>1</v>
      </c>
      <c r="H2" s="8" t="n">
        <v>0.5</v>
      </c>
      <c r="I2" s="8" t="n">
        <v>1</v>
      </c>
      <c r="J2" s="8" t="n">
        <v>1</v>
      </c>
      <c r="K2" s="8" t="n">
        <v>2</v>
      </c>
      <c r="L2" s="8" t="n">
        <v>1</v>
      </c>
      <c r="M2" s="8" t="n">
        <v>2</v>
      </c>
      <c r="N2" s="8" t="n">
        <v>2</v>
      </c>
      <c r="O2" s="8" t="n">
        <v>3</v>
      </c>
      <c r="R2" s="5">
        <f>F2*VLOOKUP($E2,Tarifas!$B$5:$F$9,2,0)</f>
        <v/>
      </c>
      <c r="S2" s="5">
        <f>G2*VLOOKUP($E2,Tarifas!$B$5:$F$9,3,0)</f>
        <v/>
      </c>
      <c r="T2" s="5">
        <f>H2*VLOOKUP($E2,Tarifas!$B$5:$F$9,2,0)</f>
        <v/>
      </c>
      <c r="U2" s="5">
        <f>I2*VLOOKUP($E2,Tarifas!$B$5:$F$9,3,0)</f>
        <v/>
      </c>
      <c r="V2" s="5">
        <f>J2*VLOOKUP($E2,Tarifas!$B$5:$F$9,2,0)</f>
        <v/>
      </c>
      <c r="W2" s="5">
        <f>K2*VLOOKUP($E2,Tarifas!$B$5:$F$9,3,0)</f>
        <v/>
      </c>
      <c r="X2" s="5">
        <f>L2*VLOOKUP($E2,Tarifas!$B$5:$F$9,2,0)</f>
        <v/>
      </c>
      <c r="Y2" s="5">
        <f>M2*VLOOKUP($E2,Tarifas!$B$5:$F$9,3,0)</f>
        <v/>
      </c>
      <c r="Z2" s="5">
        <f>N2*VLOOKUP($E2,Tarifas!$B$5:$F$9,2,0)</f>
        <v/>
      </c>
      <c r="AA2" s="5">
        <f>O2*VLOOKUP($E2,Tarifas!$B$5:$F$9,3,0)</f>
        <v/>
      </c>
    </row>
    <row r="3">
      <c r="A3" s="7" t="inlineStr">
        <is>
          <t>RND-01</t>
        </is>
      </c>
      <c r="B3" t="inlineStr">
        <is>
          <t>Render 3D estatico</t>
        </is>
      </c>
      <c r="C3" t="inlineStr">
        <is>
          <t>render</t>
        </is>
      </c>
      <c r="D3" t="inlineStr">
        <is>
          <t>Setup escena (camara, luz, HDRI)</t>
        </is>
      </c>
      <c r="E3" t="inlineStr">
        <is>
          <t>RC-ART</t>
        </is>
      </c>
      <c r="F3" s="8" t="n">
        <v>0.5</v>
      </c>
      <c r="G3" s="8" t="n">
        <v>1</v>
      </c>
      <c r="H3" s="8" t="n">
        <v>1</v>
      </c>
      <c r="I3" s="8" t="n">
        <v>2</v>
      </c>
      <c r="J3" s="8" t="n">
        <v>1.5</v>
      </c>
      <c r="K3" s="8" t="n">
        <v>3</v>
      </c>
      <c r="L3" s="8" t="n">
        <v>2</v>
      </c>
      <c r="M3" s="8" t="n">
        <v>5</v>
      </c>
      <c r="N3" s="8" t="n">
        <v>4</v>
      </c>
      <c r="O3" s="8" t="n">
        <v>8</v>
      </c>
      <c r="R3" s="5">
        <f>F3*VLOOKUP($E3,Tarifas!$B$5:$F$9,2,0)</f>
        <v/>
      </c>
      <c r="S3" s="5">
        <f>G3*VLOOKUP($E3,Tarifas!$B$5:$F$9,3,0)</f>
        <v/>
      </c>
      <c r="T3" s="5">
        <f>H3*VLOOKUP($E3,Tarifas!$B$5:$F$9,2,0)</f>
        <v/>
      </c>
      <c r="U3" s="5">
        <f>I3*VLOOKUP($E3,Tarifas!$B$5:$F$9,3,0)</f>
        <v/>
      </c>
      <c r="V3" s="5">
        <f>J3*VLOOKUP($E3,Tarifas!$B$5:$F$9,2,0)</f>
        <v/>
      </c>
      <c r="W3" s="5">
        <f>K3*VLOOKUP($E3,Tarifas!$B$5:$F$9,3,0)</f>
        <v/>
      </c>
      <c r="X3" s="5">
        <f>L3*VLOOKUP($E3,Tarifas!$B$5:$F$9,2,0)</f>
        <v/>
      </c>
      <c r="Y3" s="5">
        <f>M3*VLOOKUP($E3,Tarifas!$B$5:$F$9,3,0)</f>
        <v/>
      </c>
      <c r="Z3" s="5">
        <f>N3*VLOOKUP($E3,Tarifas!$B$5:$F$9,2,0)</f>
        <v/>
      </c>
      <c r="AA3" s="5">
        <f>O3*VLOOKUP($E3,Tarifas!$B$5:$F$9,3,0)</f>
        <v/>
      </c>
    </row>
    <row r="4">
      <c r="A4" t="inlineStr">
        <is>
          <t>RND-01</t>
        </is>
      </c>
      <c r="B4" t="inlineStr">
        <is>
          <t>Render 3D estatico</t>
        </is>
      </c>
      <c r="C4" t="inlineStr">
        <is>
          <t>render</t>
        </is>
      </c>
      <c r="D4" t="inlineStr">
        <is>
          <t>Materiales y texturizado</t>
        </is>
      </c>
      <c r="E4" t="inlineStr">
        <is>
          <t>RC-ART</t>
        </is>
      </c>
      <c r="F4" s="8" t="n">
        <v>0.5</v>
      </c>
      <c r="G4" s="8" t="n">
        <v>1.5</v>
      </c>
      <c r="H4" s="8" t="n">
        <v>1</v>
      </c>
      <c r="I4" s="8" t="n">
        <v>3</v>
      </c>
      <c r="J4" s="8" t="n">
        <v>2</v>
      </c>
      <c r="K4" s="8" t="n">
        <v>6</v>
      </c>
      <c r="L4" s="8" t="n">
        <v>4</v>
      </c>
      <c r="M4" s="8" t="n">
        <v>10</v>
      </c>
      <c r="N4" s="8" t="n">
        <v>8</v>
      </c>
      <c r="O4" s="8" t="n">
        <v>16</v>
      </c>
      <c r="R4" s="5">
        <f>F4*VLOOKUP($E4,Tarifas!$B$5:$F$9,2,0)</f>
        <v/>
      </c>
      <c r="S4" s="5">
        <f>G4*VLOOKUP($E4,Tarifas!$B$5:$F$9,3,0)</f>
        <v/>
      </c>
      <c r="T4" s="5">
        <f>H4*VLOOKUP($E4,Tarifas!$B$5:$F$9,2,0)</f>
        <v/>
      </c>
      <c r="U4" s="5">
        <f>I4*VLOOKUP($E4,Tarifas!$B$5:$F$9,3,0)</f>
        <v/>
      </c>
      <c r="V4" s="5">
        <f>J4*VLOOKUP($E4,Tarifas!$B$5:$F$9,2,0)</f>
        <v/>
      </c>
      <c r="W4" s="5">
        <f>K4*VLOOKUP($E4,Tarifas!$B$5:$F$9,3,0)</f>
        <v/>
      </c>
      <c r="X4" s="5">
        <f>L4*VLOOKUP($E4,Tarifas!$B$5:$F$9,2,0)</f>
        <v/>
      </c>
      <c r="Y4" s="5">
        <f>M4*VLOOKUP($E4,Tarifas!$B$5:$F$9,3,0)</f>
        <v/>
      </c>
      <c r="Z4" s="5">
        <f>N4*VLOOKUP($E4,Tarifas!$B$5:$F$9,2,0)</f>
        <v/>
      </c>
      <c r="AA4" s="5">
        <f>O4*VLOOKUP($E4,Tarifas!$B$5:$F$9,3,0)</f>
        <v/>
      </c>
    </row>
    <row r="5">
      <c r="A5" t="inlineStr">
        <is>
          <t>RND-01</t>
        </is>
      </c>
      <c r="B5" t="inlineStr">
        <is>
          <t>Render 3D estatico</t>
        </is>
      </c>
      <c r="C5" t="inlineStr">
        <is>
          <t>render</t>
        </is>
      </c>
      <c r="D5" t="inlineStr">
        <is>
          <t>Render + denoise</t>
        </is>
      </c>
      <c r="E5" t="inlineStr">
        <is>
          <t>RC-ART</t>
        </is>
      </c>
      <c r="F5" s="8" t="n">
        <v>0.5</v>
      </c>
      <c r="G5" s="8" t="n">
        <v>0.5</v>
      </c>
      <c r="H5" s="8" t="n">
        <v>0.5</v>
      </c>
      <c r="I5" s="8" t="n">
        <v>1</v>
      </c>
      <c r="J5" s="8" t="n">
        <v>1</v>
      </c>
      <c r="K5" s="8" t="n">
        <v>2</v>
      </c>
      <c r="L5" s="8" t="n">
        <v>1.5</v>
      </c>
      <c r="M5" s="8" t="n">
        <v>4</v>
      </c>
      <c r="N5" s="8" t="n">
        <v>3</v>
      </c>
      <c r="O5" s="8" t="n">
        <v>6</v>
      </c>
      <c r="R5" s="5">
        <f>F5*VLOOKUP($E5,Tarifas!$B$5:$F$9,2,0)</f>
        <v/>
      </c>
      <c r="S5" s="5">
        <f>G5*VLOOKUP($E5,Tarifas!$B$5:$F$9,3,0)</f>
        <v/>
      </c>
      <c r="T5" s="5">
        <f>H5*VLOOKUP($E5,Tarifas!$B$5:$F$9,2,0)</f>
        <v/>
      </c>
      <c r="U5" s="5">
        <f>I5*VLOOKUP($E5,Tarifas!$B$5:$F$9,3,0)</f>
        <v/>
      </c>
      <c r="V5" s="5">
        <f>J5*VLOOKUP($E5,Tarifas!$B$5:$F$9,2,0)</f>
        <v/>
      </c>
      <c r="W5" s="5">
        <f>K5*VLOOKUP($E5,Tarifas!$B$5:$F$9,3,0)</f>
        <v/>
      </c>
      <c r="X5" s="5">
        <f>L5*VLOOKUP($E5,Tarifas!$B$5:$F$9,2,0)</f>
        <v/>
      </c>
      <c r="Y5" s="5">
        <f>M5*VLOOKUP($E5,Tarifas!$B$5:$F$9,3,0)</f>
        <v/>
      </c>
      <c r="Z5" s="5">
        <f>N5*VLOOKUP($E5,Tarifas!$B$5:$F$9,2,0)</f>
        <v/>
      </c>
      <c r="AA5" s="5">
        <f>O5*VLOOKUP($E5,Tarifas!$B$5:$F$9,3,0)</f>
        <v/>
      </c>
    </row>
    <row r="6">
      <c r="A6" t="inlineStr">
        <is>
          <t>RND-01</t>
        </is>
      </c>
      <c r="B6" t="inlineStr">
        <is>
          <t>Render 3D estatico</t>
        </is>
      </c>
      <c r="C6" t="inlineStr">
        <is>
          <t>render</t>
        </is>
      </c>
      <c r="D6" t="inlineStr">
        <is>
          <t>Post-produccion</t>
        </is>
      </c>
      <c r="E6" t="inlineStr">
        <is>
          <t>RC-ART</t>
        </is>
      </c>
      <c r="F6" s="8" t="n">
        <v>0.25</v>
      </c>
      <c r="G6" s="8" t="n">
        <v>0.5</v>
      </c>
      <c r="H6" s="8" t="n">
        <v>0.5</v>
      </c>
      <c r="I6" s="8" t="n">
        <v>1</v>
      </c>
      <c r="J6" s="8" t="n">
        <v>1</v>
      </c>
      <c r="K6" s="8" t="n">
        <v>2</v>
      </c>
      <c r="L6" s="8" t="n">
        <v>2</v>
      </c>
      <c r="M6" s="8" t="n">
        <v>4</v>
      </c>
      <c r="N6" s="8" t="n">
        <v>4</v>
      </c>
      <c r="O6" s="8" t="n">
        <v>8</v>
      </c>
      <c r="R6" s="5">
        <f>F6*VLOOKUP($E6,Tarifas!$B$5:$F$9,2,0)</f>
        <v/>
      </c>
      <c r="S6" s="5">
        <f>G6*VLOOKUP($E6,Tarifas!$B$5:$F$9,3,0)</f>
        <v/>
      </c>
      <c r="T6" s="5">
        <f>H6*VLOOKUP($E6,Tarifas!$B$5:$F$9,2,0)</f>
        <v/>
      </c>
      <c r="U6" s="5">
        <f>I6*VLOOKUP($E6,Tarifas!$B$5:$F$9,3,0)</f>
        <v/>
      </c>
      <c r="V6" s="5">
        <f>J6*VLOOKUP($E6,Tarifas!$B$5:$F$9,2,0)</f>
        <v/>
      </c>
      <c r="W6" s="5">
        <f>K6*VLOOKUP($E6,Tarifas!$B$5:$F$9,3,0)</f>
        <v/>
      </c>
      <c r="X6" s="5">
        <f>L6*VLOOKUP($E6,Tarifas!$B$5:$F$9,2,0)</f>
        <v/>
      </c>
      <c r="Y6" s="5">
        <f>M6*VLOOKUP($E6,Tarifas!$B$5:$F$9,3,0)</f>
        <v/>
      </c>
      <c r="Z6" s="5">
        <f>N6*VLOOKUP($E6,Tarifas!$B$5:$F$9,2,0)</f>
        <v/>
      </c>
      <c r="AA6" s="5">
        <f>O6*VLOOKUP($E6,Tarifas!$B$5:$F$9,3,0)</f>
        <v/>
      </c>
    </row>
    <row r="7">
      <c r="A7" t="inlineStr">
        <is>
          <t>RND-01</t>
        </is>
      </c>
      <c r="B7" t="inlineStr">
        <is>
          <t>Render 3D estatico</t>
        </is>
      </c>
      <c r="C7" t="inlineStr">
        <is>
          <t>render</t>
        </is>
      </c>
      <c r="D7" t="inlineStr">
        <is>
          <t>QA + export</t>
        </is>
      </c>
      <c r="E7" t="inlineStr">
        <is>
          <t>RC-ART</t>
        </is>
      </c>
      <c r="F7" s="8" t="n">
        <v>0.25</v>
      </c>
      <c r="G7" s="8" t="n">
        <v>0.5</v>
      </c>
      <c r="H7" s="8" t="n">
        <v>0.5</v>
      </c>
      <c r="I7" s="8" t="n">
        <v>1</v>
      </c>
      <c r="J7" s="8" t="n">
        <v>0.5</v>
      </c>
      <c r="K7" s="8" t="n">
        <v>1</v>
      </c>
      <c r="L7" s="8" t="n">
        <v>0.5</v>
      </c>
      <c r="M7" s="8" t="n">
        <v>1</v>
      </c>
      <c r="N7" s="8" t="n">
        <v>1</v>
      </c>
      <c r="O7" s="8" t="n">
        <v>2</v>
      </c>
      <c r="R7" s="5">
        <f>F7*VLOOKUP($E7,Tarifas!$B$5:$F$9,2,0)</f>
        <v/>
      </c>
      <c r="S7" s="5">
        <f>G7*VLOOKUP($E7,Tarifas!$B$5:$F$9,3,0)</f>
        <v/>
      </c>
      <c r="T7" s="5">
        <f>H7*VLOOKUP($E7,Tarifas!$B$5:$F$9,2,0)</f>
        <v/>
      </c>
      <c r="U7" s="5">
        <f>I7*VLOOKUP($E7,Tarifas!$B$5:$F$9,3,0)</f>
        <v/>
      </c>
      <c r="V7" s="5">
        <f>J7*VLOOKUP($E7,Tarifas!$B$5:$F$9,2,0)</f>
        <v/>
      </c>
      <c r="W7" s="5">
        <f>K7*VLOOKUP($E7,Tarifas!$B$5:$F$9,3,0)</f>
        <v/>
      </c>
      <c r="X7" s="5">
        <f>L7*VLOOKUP($E7,Tarifas!$B$5:$F$9,2,0)</f>
        <v/>
      </c>
      <c r="Y7" s="5">
        <f>M7*VLOOKUP($E7,Tarifas!$B$5:$F$9,3,0)</f>
        <v/>
      </c>
      <c r="Z7" s="5">
        <f>N7*VLOOKUP($E7,Tarifas!$B$5:$F$9,2,0)</f>
        <v/>
      </c>
      <c r="AA7" s="5">
        <f>O7*VLOOKUP($E7,Tarifas!$B$5:$F$9,3,0)</f>
        <v/>
      </c>
    </row>
    <row r="8">
      <c r="A8" t="inlineStr">
        <is>
          <t>RND-02</t>
        </is>
      </c>
      <c r="B8" t="inlineStr">
        <is>
          <t>Animacion 3D (render offline)</t>
        </is>
      </c>
      <c r="C8" t="inlineStr">
        <is>
          <t>render</t>
        </is>
      </c>
      <c r="D8" t="inlineStr">
        <is>
          <t>Storyboard/previs</t>
        </is>
      </c>
      <c r="E8" t="inlineStr">
        <is>
          <t>RC-ART</t>
        </is>
      </c>
      <c r="F8" s="8" t="n">
        <v>0.5</v>
      </c>
      <c r="G8" s="8" t="n">
        <v>1</v>
      </c>
      <c r="H8" s="8" t="n">
        <v>2</v>
      </c>
      <c r="I8" s="8" t="n">
        <v>4</v>
      </c>
      <c r="J8" s="8" t="n">
        <v>3</v>
      </c>
      <c r="K8" s="8" t="n">
        <v>6</v>
      </c>
      <c r="L8" s="8" t="n">
        <v>4</v>
      </c>
      <c r="M8" s="8" t="n">
        <v>8</v>
      </c>
      <c r="N8" s="8" t="n">
        <v>6</v>
      </c>
      <c r="O8" s="8" t="n">
        <v>12</v>
      </c>
      <c r="R8" s="5">
        <f>F8*VLOOKUP($E8,Tarifas!$B$5:$F$9,2,0)</f>
        <v/>
      </c>
      <c r="S8" s="5">
        <f>G8*VLOOKUP($E8,Tarifas!$B$5:$F$9,3,0)</f>
        <v/>
      </c>
      <c r="T8" s="5">
        <f>H8*VLOOKUP($E8,Tarifas!$B$5:$F$9,2,0)</f>
        <v/>
      </c>
      <c r="U8" s="5">
        <f>I8*VLOOKUP($E8,Tarifas!$B$5:$F$9,3,0)</f>
        <v/>
      </c>
      <c r="V8" s="5">
        <f>J8*VLOOKUP($E8,Tarifas!$B$5:$F$9,2,0)</f>
        <v/>
      </c>
      <c r="W8" s="5">
        <f>K8*VLOOKUP($E8,Tarifas!$B$5:$F$9,3,0)</f>
        <v/>
      </c>
      <c r="X8" s="5">
        <f>L8*VLOOKUP($E8,Tarifas!$B$5:$F$9,2,0)</f>
        <v/>
      </c>
      <c r="Y8" s="5">
        <f>M8*VLOOKUP($E8,Tarifas!$B$5:$F$9,3,0)</f>
        <v/>
      </c>
      <c r="Z8" s="5">
        <f>N8*VLOOKUP($E8,Tarifas!$B$5:$F$9,2,0)</f>
        <v/>
      </c>
      <c r="AA8" s="5">
        <f>O8*VLOOKUP($E8,Tarifas!$B$5:$F$9,3,0)</f>
        <v/>
      </c>
    </row>
    <row r="9">
      <c r="A9" t="inlineStr">
        <is>
          <t>RND-02</t>
        </is>
      </c>
      <c r="B9" t="inlineStr">
        <is>
          <t>Animacion 3D (render offline)</t>
        </is>
      </c>
      <c r="C9" t="inlineStr">
        <is>
          <t>render</t>
        </is>
      </c>
      <c r="D9" t="inlineStr">
        <is>
          <t>Layout escena y camaras</t>
        </is>
      </c>
      <c r="E9" t="inlineStr">
        <is>
          <t>RC-ART</t>
        </is>
      </c>
      <c r="F9" s="8" t="n">
        <v>0.5</v>
      </c>
      <c r="G9" s="8" t="n">
        <v>1</v>
      </c>
      <c r="H9" s="8" t="n">
        <v>1</v>
      </c>
      <c r="I9" s="8" t="n">
        <v>2</v>
      </c>
      <c r="J9" s="8" t="n">
        <v>2</v>
      </c>
      <c r="K9" s="8" t="n">
        <v>4</v>
      </c>
      <c r="L9" s="8" t="n">
        <v>3</v>
      </c>
      <c r="M9" s="8" t="n">
        <v>6</v>
      </c>
      <c r="N9" s="8" t="n">
        <v>5</v>
      </c>
      <c r="O9" s="8" t="n">
        <v>8</v>
      </c>
      <c r="R9" s="5">
        <f>F9*VLOOKUP($E9,Tarifas!$B$5:$F$9,2,0)</f>
        <v/>
      </c>
      <c r="S9" s="5">
        <f>G9*VLOOKUP($E9,Tarifas!$B$5:$F$9,3,0)</f>
        <v/>
      </c>
      <c r="T9" s="5">
        <f>H9*VLOOKUP($E9,Tarifas!$B$5:$F$9,2,0)</f>
        <v/>
      </c>
      <c r="U9" s="5">
        <f>I9*VLOOKUP($E9,Tarifas!$B$5:$F$9,3,0)</f>
        <v/>
      </c>
      <c r="V9" s="5">
        <f>J9*VLOOKUP($E9,Tarifas!$B$5:$F$9,2,0)</f>
        <v/>
      </c>
      <c r="W9" s="5">
        <f>K9*VLOOKUP($E9,Tarifas!$B$5:$F$9,3,0)</f>
        <v/>
      </c>
      <c r="X9" s="5">
        <f>L9*VLOOKUP($E9,Tarifas!$B$5:$F$9,2,0)</f>
        <v/>
      </c>
      <c r="Y9" s="5">
        <f>M9*VLOOKUP($E9,Tarifas!$B$5:$F$9,3,0)</f>
        <v/>
      </c>
      <c r="Z9" s="5">
        <f>N9*VLOOKUP($E9,Tarifas!$B$5:$F$9,2,0)</f>
        <v/>
      </c>
      <c r="AA9" s="5">
        <f>O9*VLOOKUP($E9,Tarifas!$B$5:$F$9,3,0)</f>
        <v/>
      </c>
    </row>
    <row r="10">
      <c r="A10" t="inlineStr">
        <is>
          <t>RND-02</t>
        </is>
      </c>
      <c r="B10" t="inlineStr">
        <is>
          <t>Animacion 3D (render offline)</t>
        </is>
      </c>
      <c r="C10" t="inlineStr">
        <is>
          <t>render</t>
        </is>
      </c>
      <c r="D10" t="inlineStr">
        <is>
          <t>Animacion (camara/objetos)</t>
        </is>
      </c>
      <c r="E10" t="inlineStr">
        <is>
          <t>RC-ART</t>
        </is>
      </c>
      <c r="F10" s="8" t="n">
        <v>1</v>
      </c>
      <c r="G10" s="8" t="n">
        <v>2</v>
      </c>
      <c r="H10" s="8" t="n">
        <v>4</v>
      </c>
      <c r="I10" s="8" t="n">
        <v>8</v>
      </c>
      <c r="J10" s="8" t="n">
        <v>8</v>
      </c>
      <c r="K10" s="8" t="n">
        <v>16</v>
      </c>
      <c r="L10" s="8" t="n">
        <v>12</v>
      </c>
      <c r="M10" s="8" t="n">
        <v>24</v>
      </c>
      <c r="N10" s="8" t="n">
        <v>20</v>
      </c>
      <c r="O10" s="8" t="n">
        <v>40</v>
      </c>
      <c r="R10" s="5">
        <f>F10*VLOOKUP($E10,Tarifas!$B$5:$F$9,2,0)</f>
        <v/>
      </c>
      <c r="S10" s="5">
        <f>G10*VLOOKUP($E10,Tarifas!$B$5:$F$9,3,0)</f>
        <v/>
      </c>
      <c r="T10" s="5">
        <f>H10*VLOOKUP($E10,Tarifas!$B$5:$F$9,2,0)</f>
        <v/>
      </c>
      <c r="U10" s="5">
        <f>I10*VLOOKUP($E10,Tarifas!$B$5:$F$9,3,0)</f>
        <v/>
      </c>
      <c r="V10" s="5">
        <f>J10*VLOOKUP($E10,Tarifas!$B$5:$F$9,2,0)</f>
        <v/>
      </c>
      <c r="W10" s="5">
        <f>K10*VLOOKUP($E10,Tarifas!$B$5:$F$9,3,0)</f>
        <v/>
      </c>
      <c r="X10" s="5">
        <f>L10*VLOOKUP($E10,Tarifas!$B$5:$F$9,2,0)</f>
        <v/>
      </c>
      <c r="Y10" s="5">
        <f>M10*VLOOKUP($E10,Tarifas!$B$5:$F$9,3,0)</f>
        <v/>
      </c>
      <c r="Z10" s="5">
        <f>N10*VLOOKUP($E10,Tarifas!$B$5:$F$9,2,0)</f>
        <v/>
      </c>
      <c r="AA10" s="5">
        <f>O10*VLOOKUP($E10,Tarifas!$B$5:$F$9,3,0)</f>
        <v/>
      </c>
    </row>
    <row r="11">
      <c r="A11" t="inlineStr">
        <is>
          <t>RND-02</t>
        </is>
      </c>
      <c r="B11" t="inlineStr">
        <is>
          <t>Animacion 3D (render offline)</t>
        </is>
      </c>
      <c r="C11" t="inlineStr">
        <is>
          <t>render</t>
        </is>
      </c>
      <c r="D11" t="inlineStr">
        <is>
          <t>Iluminacion + lookdev</t>
        </is>
      </c>
      <c r="E11" t="inlineStr">
        <is>
          <t>RC-ART</t>
        </is>
      </c>
      <c r="F11" s="8" t="n">
        <v>1</v>
      </c>
      <c r="G11" s="8" t="n">
        <v>2</v>
      </c>
      <c r="H11" s="8" t="n">
        <v>2</v>
      </c>
      <c r="I11" s="8" t="n">
        <v>4</v>
      </c>
      <c r="J11" s="8" t="n">
        <v>4</v>
      </c>
      <c r="K11" s="8" t="n">
        <v>7</v>
      </c>
      <c r="L11" s="8" t="n">
        <v>5</v>
      </c>
      <c r="M11" s="8" t="n">
        <v>10</v>
      </c>
      <c r="N11" s="8" t="n">
        <v>8</v>
      </c>
      <c r="O11" s="8" t="n">
        <v>14</v>
      </c>
      <c r="R11" s="5">
        <f>F11*VLOOKUP($E11,Tarifas!$B$5:$F$9,2,0)</f>
        <v/>
      </c>
      <c r="S11" s="5">
        <f>G11*VLOOKUP($E11,Tarifas!$B$5:$F$9,3,0)</f>
        <v/>
      </c>
      <c r="T11" s="5">
        <f>H11*VLOOKUP($E11,Tarifas!$B$5:$F$9,2,0)</f>
        <v/>
      </c>
      <c r="U11" s="5">
        <f>I11*VLOOKUP($E11,Tarifas!$B$5:$F$9,3,0)</f>
        <v/>
      </c>
      <c r="V11" s="5">
        <f>J11*VLOOKUP($E11,Tarifas!$B$5:$F$9,2,0)</f>
        <v/>
      </c>
      <c r="W11" s="5">
        <f>K11*VLOOKUP($E11,Tarifas!$B$5:$F$9,3,0)</f>
        <v/>
      </c>
      <c r="X11" s="5">
        <f>L11*VLOOKUP($E11,Tarifas!$B$5:$F$9,2,0)</f>
        <v/>
      </c>
      <c r="Y11" s="5">
        <f>M11*VLOOKUP($E11,Tarifas!$B$5:$F$9,3,0)</f>
        <v/>
      </c>
      <c r="Z11" s="5">
        <f>N11*VLOOKUP($E11,Tarifas!$B$5:$F$9,2,0)</f>
        <v/>
      </c>
      <c r="AA11" s="5">
        <f>O11*VLOOKUP($E11,Tarifas!$B$5:$F$9,3,0)</f>
        <v/>
      </c>
    </row>
    <row r="12">
      <c r="A12" t="inlineStr">
        <is>
          <t>RND-02</t>
        </is>
      </c>
      <c r="B12" t="inlineStr">
        <is>
          <t>Animacion 3D (render offline)</t>
        </is>
      </c>
      <c r="C12" t="inlineStr">
        <is>
          <t>render</t>
        </is>
      </c>
      <c r="D12" t="inlineStr">
        <is>
          <t>Renders/passes</t>
        </is>
      </c>
      <c r="E12" t="inlineStr">
        <is>
          <t>RC-ART</t>
        </is>
      </c>
      <c r="F12" s="8" t="n">
        <v>1</v>
      </c>
      <c r="G12" s="8" t="n">
        <v>1.5</v>
      </c>
      <c r="H12" s="8" t="n">
        <v>2</v>
      </c>
      <c r="I12" s="8" t="n">
        <v>3</v>
      </c>
      <c r="J12" s="8" t="n">
        <v>3</v>
      </c>
      <c r="K12" s="8" t="n">
        <v>5</v>
      </c>
      <c r="L12" s="8" t="n">
        <v>4</v>
      </c>
      <c r="M12" s="8" t="n">
        <v>8</v>
      </c>
      <c r="N12" s="8" t="n">
        <v>6</v>
      </c>
      <c r="O12" s="8" t="n">
        <v>12</v>
      </c>
      <c r="R12" s="5">
        <f>F12*VLOOKUP($E12,Tarifas!$B$5:$F$9,2,0)</f>
        <v/>
      </c>
      <c r="S12" s="5">
        <f>G12*VLOOKUP($E12,Tarifas!$B$5:$F$9,3,0)</f>
        <v/>
      </c>
      <c r="T12" s="5">
        <f>H12*VLOOKUP($E12,Tarifas!$B$5:$F$9,2,0)</f>
        <v/>
      </c>
      <c r="U12" s="5">
        <f>I12*VLOOKUP($E12,Tarifas!$B$5:$F$9,3,0)</f>
        <v/>
      </c>
      <c r="V12" s="5">
        <f>J12*VLOOKUP($E12,Tarifas!$B$5:$F$9,2,0)</f>
        <v/>
      </c>
      <c r="W12" s="5">
        <f>K12*VLOOKUP($E12,Tarifas!$B$5:$F$9,3,0)</f>
        <v/>
      </c>
      <c r="X12" s="5">
        <f>L12*VLOOKUP($E12,Tarifas!$B$5:$F$9,2,0)</f>
        <v/>
      </c>
      <c r="Y12" s="5">
        <f>M12*VLOOKUP($E12,Tarifas!$B$5:$F$9,3,0)</f>
        <v/>
      </c>
      <c r="Z12" s="5">
        <f>N12*VLOOKUP($E12,Tarifas!$B$5:$F$9,2,0)</f>
        <v/>
      </c>
      <c r="AA12" s="5">
        <f>O12*VLOOKUP($E12,Tarifas!$B$5:$F$9,3,0)</f>
        <v/>
      </c>
    </row>
    <row r="13">
      <c r="A13" t="inlineStr">
        <is>
          <t>RND-02</t>
        </is>
      </c>
      <c r="B13" t="inlineStr">
        <is>
          <t>Animacion 3D (render offline)</t>
        </is>
      </c>
      <c r="C13" t="inlineStr">
        <is>
          <t>render</t>
        </is>
      </c>
      <c r="D13" t="inlineStr">
        <is>
          <t>Composicion, edit, grade</t>
        </is>
      </c>
      <c r="E13" t="inlineStr">
        <is>
          <t>RC-ART</t>
        </is>
      </c>
      <c r="F13" s="8" t="n">
        <v>1</v>
      </c>
      <c r="G13" s="8" t="n">
        <v>1.5</v>
      </c>
      <c r="H13" s="8" t="n">
        <v>2</v>
      </c>
      <c r="I13" s="8" t="n">
        <v>3</v>
      </c>
      <c r="J13" s="8" t="n">
        <v>3</v>
      </c>
      <c r="K13" s="8" t="n">
        <v>5</v>
      </c>
      <c r="L13" s="8" t="n">
        <v>4</v>
      </c>
      <c r="M13" s="8" t="n">
        <v>8</v>
      </c>
      <c r="N13" s="8" t="n">
        <v>6</v>
      </c>
      <c r="O13" s="8" t="n">
        <v>12</v>
      </c>
      <c r="R13" s="5">
        <f>F13*VLOOKUP($E13,Tarifas!$B$5:$F$9,2,0)</f>
        <v/>
      </c>
      <c r="S13" s="5">
        <f>G13*VLOOKUP($E13,Tarifas!$B$5:$F$9,3,0)</f>
        <v/>
      </c>
      <c r="T13" s="5">
        <f>H13*VLOOKUP($E13,Tarifas!$B$5:$F$9,2,0)</f>
        <v/>
      </c>
      <c r="U13" s="5">
        <f>I13*VLOOKUP($E13,Tarifas!$B$5:$F$9,3,0)</f>
        <v/>
      </c>
      <c r="V13" s="5">
        <f>J13*VLOOKUP($E13,Tarifas!$B$5:$F$9,2,0)</f>
        <v/>
      </c>
      <c r="W13" s="5">
        <f>K13*VLOOKUP($E13,Tarifas!$B$5:$F$9,3,0)</f>
        <v/>
      </c>
      <c r="X13" s="5">
        <f>L13*VLOOKUP($E13,Tarifas!$B$5:$F$9,2,0)</f>
        <v/>
      </c>
      <c r="Y13" s="5">
        <f>M13*VLOOKUP($E13,Tarifas!$B$5:$F$9,3,0)</f>
        <v/>
      </c>
      <c r="Z13" s="5">
        <f>N13*VLOOKUP($E13,Tarifas!$B$5:$F$9,2,0)</f>
        <v/>
      </c>
      <c r="AA13" s="5">
        <f>O13*VLOOKUP($E13,Tarifas!$B$5:$F$9,3,0)</f>
        <v/>
      </c>
    </row>
    <row r="14">
      <c r="A14" t="inlineStr">
        <is>
          <t>RTA-01</t>
        </is>
      </c>
      <c r="B14" t="inlineStr">
        <is>
          <t>Asset 3D realtime estatico</t>
        </is>
      </c>
      <c r="C14" t="inlineStr">
        <is>
          <t>asset-rt</t>
        </is>
      </c>
      <c r="D14" t="inlineStr">
        <is>
          <t>Intake/QC specs</t>
        </is>
      </c>
      <c r="E14" t="inlineStr">
        <is>
          <t>RC-RTA</t>
        </is>
      </c>
      <c r="F14" s="8" t="n">
        <v>0</v>
      </c>
      <c r="G14" s="8" t="n">
        <v>0</v>
      </c>
      <c r="H14" s="8" t="n">
        <v>0.5</v>
      </c>
      <c r="I14" s="8" t="n">
        <v>1</v>
      </c>
      <c r="J14" s="8" t="n">
        <v>1</v>
      </c>
      <c r="K14" s="8" t="n">
        <v>2</v>
      </c>
      <c r="L14" s="8" t="n">
        <v>2</v>
      </c>
      <c r="M14" s="8" t="n">
        <v>3</v>
      </c>
      <c r="N14" s="8" t="n">
        <v>3</v>
      </c>
      <c r="O14" s="8" t="n">
        <v>5</v>
      </c>
      <c r="R14" s="5">
        <f>F14*VLOOKUP($E14,Tarifas!$B$5:$F$9,2,0)</f>
        <v/>
      </c>
      <c r="S14" s="5">
        <f>G14*VLOOKUP($E14,Tarifas!$B$5:$F$9,3,0)</f>
        <v/>
      </c>
      <c r="T14" s="5">
        <f>H14*VLOOKUP($E14,Tarifas!$B$5:$F$9,2,0)</f>
        <v/>
      </c>
      <c r="U14" s="5">
        <f>I14*VLOOKUP($E14,Tarifas!$B$5:$F$9,3,0)</f>
        <v/>
      </c>
      <c r="V14" s="5">
        <f>J14*VLOOKUP($E14,Tarifas!$B$5:$F$9,2,0)</f>
        <v/>
      </c>
      <c r="W14" s="5">
        <f>K14*VLOOKUP($E14,Tarifas!$B$5:$F$9,3,0)</f>
        <v/>
      </c>
      <c r="X14" s="5">
        <f>L14*VLOOKUP($E14,Tarifas!$B$5:$F$9,2,0)</f>
        <v/>
      </c>
      <c r="Y14" s="5">
        <f>M14*VLOOKUP($E14,Tarifas!$B$5:$F$9,3,0)</f>
        <v/>
      </c>
      <c r="Z14" s="5">
        <f>N14*VLOOKUP($E14,Tarifas!$B$5:$F$9,2,0)</f>
        <v/>
      </c>
      <c r="AA14" s="5">
        <f>O14*VLOOKUP($E14,Tarifas!$B$5:$F$9,3,0)</f>
        <v/>
      </c>
    </row>
    <row r="15">
      <c r="A15" t="inlineStr">
        <is>
          <t>RTA-01</t>
        </is>
      </c>
      <c r="B15" t="inlineStr">
        <is>
          <t>Asset 3D realtime estatico</t>
        </is>
      </c>
      <c r="C15" t="inlineStr">
        <is>
          <t>asset-rt</t>
        </is>
      </c>
      <c r="D15" t="inlineStr">
        <is>
          <t>Modelado hi-low</t>
        </is>
      </c>
      <c r="E15" t="inlineStr">
        <is>
          <t>RC-RTA</t>
        </is>
      </c>
      <c r="F15" s="8" t="n">
        <v>0</v>
      </c>
      <c r="G15" s="8" t="n">
        <v>0</v>
      </c>
      <c r="H15" s="8" t="n">
        <v>2</v>
      </c>
      <c r="I15" s="8" t="n">
        <v>4</v>
      </c>
      <c r="J15" s="8" t="n">
        <v>4</v>
      </c>
      <c r="K15" s="8" t="n">
        <v>10</v>
      </c>
      <c r="L15" s="8" t="n">
        <v>10</v>
      </c>
      <c r="M15" s="8" t="n">
        <v>25</v>
      </c>
      <c r="N15" s="8" t="n">
        <v>25</v>
      </c>
      <c r="O15" s="8" t="n">
        <v>80</v>
      </c>
      <c r="R15" s="5">
        <f>F15*VLOOKUP($E15,Tarifas!$B$5:$F$9,2,0)</f>
        <v/>
      </c>
      <c r="S15" s="5">
        <f>G15*VLOOKUP($E15,Tarifas!$B$5:$F$9,3,0)</f>
        <v/>
      </c>
      <c r="T15" s="5">
        <f>H15*VLOOKUP($E15,Tarifas!$B$5:$F$9,2,0)</f>
        <v/>
      </c>
      <c r="U15" s="5">
        <f>I15*VLOOKUP($E15,Tarifas!$B$5:$F$9,3,0)</f>
        <v/>
      </c>
      <c r="V15" s="5">
        <f>J15*VLOOKUP($E15,Tarifas!$B$5:$F$9,2,0)</f>
        <v/>
      </c>
      <c r="W15" s="5">
        <f>K15*VLOOKUP($E15,Tarifas!$B$5:$F$9,3,0)</f>
        <v/>
      </c>
      <c r="X15" s="5">
        <f>L15*VLOOKUP($E15,Tarifas!$B$5:$F$9,2,0)</f>
        <v/>
      </c>
      <c r="Y15" s="5">
        <f>M15*VLOOKUP($E15,Tarifas!$B$5:$F$9,3,0)</f>
        <v/>
      </c>
      <c r="Z15" s="5">
        <f>N15*VLOOKUP($E15,Tarifas!$B$5:$F$9,2,0)</f>
        <v/>
      </c>
      <c r="AA15" s="5">
        <f>O15*VLOOKUP($E15,Tarifas!$B$5:$F$9,3,0)</f>
        <v/>
      </c>
    </row>
    <row r="16">
      <c r="A16" t="inlineStr">
        <is>
          <t>RTA-01</t>
        </is>
      </c>
      <c r="B16" t="inlineStr">
        <is>
          <t>Asset 3D realtime estatico</t>
        </is>
      </c>
      <c r="C16" t="inlineStr">
        <is>
          <t>asset-rt</t>
        </is>
      </c>
      <c r="D16" t="inlineStr">
        <is>
          <t>UV unwrap</t>
        </is>
      </c>
      <c r="E16" t="inlineStr">
        <is>
          <t>RC-RTA</t>
        </is>
      </c>
      <c r="F16" s="8" t="n">
        <v>0</v>
      </c>
      <c r="G16" s="8" t="n">
        <v>0</v>
      </c>
      <c r="H16" s="8" t="n">
        <v>1</v>
      </c>
      <c r="I16" s="8" t="n">
        <v>2</v>
      </c>
      <c r="J16" s="8" t="n">
        <v>2</v>
      </c>
      <c r="K16" s="8" t="n">
        <v>4</v>
      </c>
      <c r="L16" s="8" t="n">
        <v>4</v>
      </c>
      <c r="M16" s="8" t="n">
        <v>8</v>
      </c>
      <c r="N16" s="8" t="n">
        <v>8</v>
      </c>
      <c r="O16" s="8" t="n">
        <v>16</v>
      </c>
      <c r="R16" s="5">
        <f>F16*VLOOKUP($E16,Tarifas!$B$5:$F$9,2,0)</f>
        <v/>
      </c>
      <c r="S16" s="5">
        <f>G16*VLOOKUP($E16,Tarifas!$B$5:$F$9,3,0)</f>
        <v/>
      </c>
      <c r="T16" s="5">
        <f>H16*VLOOKUP($E16,Tarifas!$B$5:$F$9,2,0)</f>
        <v/>
      </c>
      <c r="U16" s="5">
        <f>I16*VLOOKUP($E16,Tarifas!$B$5:$F$9,3,0)</f>
        <v/>
      </c>
      <c r="V16" s="5">
        <f>J16*VLOOKUP($E16,Tarifas!$B$5:$F$9,2,0)</f>
        <v/>
      </c>
      <c r="W16" s="5">
        <f>K16*VLOOKUP($E16,Tarifas!$B$5:$F$9,3,0)</f>
        <v/>
      </c>
      <c r="X16" s="5">
        <f>L16*VLOOKUP($E16,Tarifas!$B$5:$F$9,2,0)</f>
        <v/>
      </c>
      <c r="Y16" s="5">
        <f>M16*VLOOKUP($E16,Tarifas!$B$5:$F$9,3,0)</f>
        <v/>
      </c>
      <c r="Z16" s="5">
        <f>N16*VLOOKUP($E16,Tarifas!$B$5:$F$9,2,0)</f>
        <v/>
      </c>
      <c r="AA16" s="5">
        <f>O16*VLOOKUP($E16,Tarifas!$B$5:$F$9,3,0)</f>
        <v/>
      </c>
    </row>
    <row r="17">
      <c r="A17" t="inlineStr">
        <is>
          <t>RTA-01</t>
        </is>
      </c>
      <c r="B17" t="inlineStr">
        <is>
          <t>Asset 3D realtime estatico</t>
        </is>
      </c>
      <c r="C17" t="inlineStr">
        <is>
          <t>asset-rt</t>
        </is>
      </c>
      <c r="D17" t="inlineStr">
        <is>
          <t>Baking de mapas</t>
        </is>
      </c>
      <c r="E17" t="inlineStr">
        <is>
          <t>RC-RTA</t>
        </is>
      </c>
      <c r="F17" s="8" t="n">
        <v>0</v>
      </c>
      <c r="G17" s="8" t="n">
        <v>0</v>
      </c>
      <c r="H17" s="8" t="n">
        <v>0.5</v>
      </c>
      <c r="I17" s="8" t="n">
        <v>1</v>
      </c>
      <c r="J17" s="8" t="n">
        <v>1</v>
      </c>
      <c r="K17" s="8" t="n">
        <v>3</v>
      </c>
      <c r="L17" s="8" t="n">
        <v>3</v>
      </c>
      <c r="M17" s="8" t="n">
        <v>6</v>
      </c>
      <c r="N17" s="8" t="n">
        <v>6</v>
      </c>
      <c r="O17" s="8" t="n">
        <v>12</v>
      </c>
      <c r="R17" s="5">
        <f>F17*VLOOKUP($E17,Tarifas!$B$5:$F$9,2,0)</f>
        <v/>
      </c>
      <c r="S17" s="5">
        <f>G17*VLOOKUP($E17,Tarifas!$B$5:$F$9,3,0)</f>
        <v/>
      </c>
      <c r="T17" s="5">
        <f>H17*VLOOKUP($E17,Tarifas!$B$5:$F$9,2,0)</f>
        <v/>
      </c>
      <c r="U17" s="5">
        <f>I17*VLOOKUP($E17,Tarifas!$B$5:$F$9,3,0)</f>
        <v/>
      </c>
      <c r="V17" s="5">
        <f>J17*VLOOKUP($E17,Tarifas!$B$5:$F$9,2,0)</f>
        <v/>
      </c>
      <c r="W17" s="5">
        <f>K17*VLOOKUP($E17,Tarifas!$B$5:$F$9,3,0)</f>
        <v/>
      </c>
      <c r="X17" s="5">
        <f>L17*VLOOKUP($E17,Tarifas!$B$5:$F$9,2,0)</f>
        <v/>
      </c>
      <c r="Y17" s="5">
        <f>M17*VLOOKUP($E17,Tarifas!$B$5:$F$9,3,0)</f>
        <v/>
      </c>
      <c r="Z17" s="5">
        <f>N17*VLOOKUP($E17,Tarifas!$B$5:$F$9,2,0)</f>
        <v/>
      </c>
      <c r="AA17" s="5">
        <f>O17*VLOOKUP($E17,Tarifas!$B$5:$F$9,3,0)</f>
        <v/>
      </c>
    </row>
    <row r="18">
      <c r="A18" t="inlineStr">
        <is>
          <t>RTA-01</t>
        </is>
      </c>
      <c r="B18" t="inlineStr">
        <is>
          <t>Asset 3D realtime estatico</t>
        </is>
      </c>
      <c r="C18" t="inlineStr">
        <is>
          <t>asset-rt</t>
        </is>
      </c>
      <c r="D18" t="inlineStr">
        <is>
          <t>Texturizado PBR</t>
        </is>
      </c>
      <c r="E18" t="inlineStr">
        <is>
          <t>RC-RTA</t>
        </is>
      </c>
      <c r="F18" s="8" t="n">
        <v>0</v>
      </c>
      <c r="G18" s="8" t="n">
        <v>0</v>
      </c>
      <c r="H18" s="8" t="n">
        <v>1</v>
      </c>
      <c r="I18" s="8" t="n">
        <v>3</v>
      </c>
      <c r="J18" s="8" t="n">
        <v>3</v>
      </c>
      <c r="K18" s="8" t="n">
        <v>6</v>
      </c>
      <c r="L18" s="8" t="n">
        <v>6</v>
      </c>
      <c r="M18" s="8" t="n">
        <v>14</v>
      </c>
      <c r="N18" s="8" t="n">
        <v>14</v>
      </c>
      <c r="O18" s="8" t="n">
        <v>30</v>
      </c>
      <c r="R18" s="5">
        <f>F18*VLOOKUP($E18,Tarifas!$B$5:$F$9,2,0)</f>
        <v/>
      </c>
      <c r="S18" s="5">
        <f>G18*VLOOKUP($E18,Tarifas!$B$5:$F$9,3,0)</f>
        <v/>
      </c>
      <c r="T18" s="5">
        <f>H18*VLOOKUP($E18,Tarifas!$B$5:$F$9,2,0)</f>
        <v/>
      </c>
      <c r="U18" s="5">
        <f>I18*VLOOKUP($E18,Tarifas!$B$5:$F$9,3,0)</f>
        <v/>
      </c>
      <c r="V18" s="5">
        <f>J18*VLOOKUP($E18,Tarifas!$B$5:$F$9,2,0)</f>
        <v/>
      </c>
      <c r="W18" s="5">
        <f>K18*VLOOKUP($E18,Tarifas!$B$5:$F$9,3,0)</f>
        <v/>
      </c>
      <c r="X18" s="5">
        <f>L18*VLOOKUP($E18,Tarifas!$B$5:$F$9,2,0)</f>
        <v/>
      </c>
      <c r="Y18" s="5">
        <f>M18*VLOOKUP($E18,Tarifas!$B$5:$F$9,3,0)</f>
        <v/>
      </c>
      <c r="Z18" s="5">
        <f>N18*VLOOKUP($E18,Tarifas!$B$5:$F$9,2,0)</f>
        <v/>
      </c>
      <c r="AA18" s="5">
        <f>O18*VLOOKUP($E18,Tarifas!$B$5:$F$9,3,0)</f>
        <v/>
      </c>
    </row>
    <row r="19">
      <c r="A19" t="inlineStr">
        <is>
          <t>RTA-01</t>
        </is>
      </c>
      <c r="B19" t="inlineStr">
        <is>
          <t>Asset 3D realtime estatico</t>
        </is>
      </c>
      <c r="C19" t="inlineStr">
        <is>
          <t>asset-rt</t>
        </is>
      </c>
      <c r="D19" t="inlineStr">
        <is>
          <t>Optimizacion LODs/Draco</t>
        </is>
      </c>
      <c r="E19" t="inlineStr">
        <is>
          <t>RC-RTA</t>
        </is>
      </c>
      <c r="F19" s="8" t="n">
        <v>0</v>
      </c>
      <c r="G19" s="8" t="n">
        <v>0</v>
      </c>
      <c r="H19" s="8" t="n">
        <v>0.5</v>
      </c>
      <c r="I19" s="8" t="n">
        <v>1</v>
      </c>
      <c r="J19" s="8" t="n">
        <v>1</v>
      </c>
      <c r="K19" s="8" t="n">
        <v>3</v>
      </c>
      <c r="L19" s="8" t="n">
        <v>3</v>
      </c>
      <c r="M19" s="8" t="n">
        <v>6</v>
      </c>
      <c r="N19" s="8" t="n">
        <v>6</v>
      </c>
      <c r="O19" s="8" t="n">
        <v>12</v>
      </c>
      <c r="R19" s="5">
        <f>F19*VLOOKUP($E19,Tarifas!$B$5:$F$9,2,0)</f>
        <v/>
      </c>
      <c r="S19" s="5">
        <f>G19*VLOOKUP($E19,Tarifas!$B$5:$F$9,3,0)</f>
        <v/>
      </c>
      <c r="T19" s="5">
        <f>H19*VLOOKUP($E19,Tarifas!$B$5:$F$9,2,0)</f>
        <v/>
      </c>
      <c r="U19" s="5">
        <f>I19*VLOOKUP($E19,Tarifas!$B$5:$F$9,3,0)</f>
        <v/>
      </c>
      <c r="V19" s="5">
        <f>J19*VLOOKUP($E19,Tarifas!$B$5:$F$9,2,0)</f>
        <v/>
      </c>
      <c r="W19" s="5">
        <f>K19*VLOOKUP($E19,Tarifas!$B$5:$F$9,3,0)</f>
        <v/>
      </c>
      <c r="X19" s="5">
        <f>L19*VLOOKUP($E19,Tarifas!$B$5:$F$9,2,0)</f>
        <v/>
      </c>
      <c r="Y19" s="5">
        <f>M19*VLOOKUP($E19,Tarifas!$B$5:$F$9,3,0)</f>
        <v/>
      </c>
      <c r="Z19" s="5">
        <f>N19*VLOOKUP($E19,Tarifas!$B$5:$F$9,2,0)</f>
        <v/>
      </c>
      <c r="AA19" s="5">
        <f>O19*VLOOKUP($E19,Tarifas!$B$5:$F$9,3,0)</f>
        <v/>
      </c>
    </row>
    <row r="20">
      <c r="A20" t="inlineStr">
        <is>
          <t>RTA-01</t>
        </is>
      </c>
      <c r="B20" t="inlineStr">
        <is>
          <t>Asset 3D realtime estatico</t>
        </is>
      </c>
      <c r="C20" t="inlineStr">
        <is>
          <t>asset-rt</t>
        </is>
      </c>
      <c r="D20" t="inlineStr">
        <is>
          <t>QA motor target</t>
        </is>
      </c>
      <c r="E20" t="inlineStr">
        <is>
          <t>RC-RTA</t>
        </is>
      </c>
      <c r="F20" s="8" t="n">
        <v>0</v>
      </c>
      <c r="G20" s="8" t="n">
        <v>0</v>
      </c>
      <c r="H20" s="8" t="n">
        <v>0.5</v>
      </c>
      <c r="I20" s="8" t="n">
        <v>1</v>
      </c>
      <c r="J20" s="8" t="n">
        <v>1</v>
      </c>
      <c r="K20" s="8" t="n">
        <v>2</v>
      </c>
      <c r="L20" s="8" t="n">
        <v>2</v>
      </c>
      <c r="M20" s="8" t="n">
        <v>4</v>
      </c>
      <c r="N20" s="8" t="n">
        <v>4</v>
      </c>
      <c r="O20" s="8" t="n">
        <v>8</v>
      </c>
      <c r="R20" s="5">
        <f>F20*VLOOKUP($E20,Tarifas!$B$5:$F$9,2,0)</f>
        <v/>
      </c>
      <c r="S20" s="5">
        <f>G20*VLOOKUP($E20,Tarifas!$B$5:$F$9,3,0)</f>
        <v/>
      </c>
      <c r="T20" s="5">
        <f>H20*VLOOKUP($E20,Tarifas!$B$5:$F$9,2,0)</f>
        <v/>
      </c>
      <c r="U20" s="5">
        <f>I20*VLOOKUP($E20,Tarifas!$B$5:$F$9,3,0)</f>
        <v/>
      </c>
      <c r="V20" s="5">
        <f>J20*VLOOKUP($E20,Tarifas!$B$5:$F$9,2,0)</f>
        <v/>
      </c>
      <c r="W20" s="5">
        <f>K20*VLOOKUP($E20,Tarifas!$B$5:$F$9,3,0)</f>
        <v/>
      </c>
      <c r="X20" s="5">
        <f>L20*VLOOKUP($E20,Tarifas!$B$5:$F$9,2,0)</f>
        <v/>
      </c>
      <c r="Y20" s="5">
        <f>M20*VLOOKUP($E20,Tarifas!$B$5:$F$9,3,0)</f>
        <v/>
      </c>
      <c r="Z20" s="5">
        <f>N20*VLOOKUP($E20,Tarifas!$B$5:$F$9,2,0)</f>
        <v/>
      </c>
      <c r="AA20" s="5">
        <f>O20*VLOOKUP($E20,Tarifas!$B$5:$F$9,3,0)</f>
        <v/>
      </c>
    </row>
    <row r="21">
      <c r="A21" t="inlineStr">
        <is>
          <t>RTA-02</t>
        </is>
      </c>
      <c r="B21" t="inlineStr">
        <is>
          <t>Asset RT interactuable (hotspots)</t>
        </is>
      </c>
      <c r="C21" t="inlineStr">
        <is>
          <t>asset-rt</t>
        </is>
      </c>
      <c r="D21" t="inlineStr">
        <is>
          <t>Pipeline base (ver RTA-01)</t>
        </is>
      </c>
      <c r="E21" t="inlineStr">
        <is>
          <t>RC-RTA</t>
        </is>
      </c>
      <c r="F21" s="8" t="n">
        <v>0</v>
      </c>
      <c r="G21" s="8" t="n">
        <v>0</v>
      </c>
      <c r="H21" s="8" t="n">
        <v>6</v>
      </c>
      <c r="I21" s="8" t="n">
        <v>13</v>
      </c>
      <c r="J21" s="8" t="n">
        <v>14</v>
      </c>
      <c r="K21" s="8" t="n">
        <v>30</v>
      </c>
      <c r="L21" s="8" t="n">
        <v>30</v>
      </c>
      <c r="M21" s="8" t="n">
        <v>66</v>
      </c>
      <c r="N21" s="8" t="n">
        <v>66</v>
      </c>
      <c r="O21" s="8" t="n">
        <v>163</v>
      </c>
      <c r="R21" s="5">
        <f>F21*VLOOKUP($E21,Tarifas!$B$5:$F$9,2,0)</f>
        <v/>
      </c>
      <c r="S21" s="5">
        <f>G21*VLOOKUP($E21,Tarifas!$B$5:$F$9,3,0)</f>
        <v/>
      </c>
      <c r="T21" s="5">
        <f>H21*VLOOKUP($E21,Tarifas!$B$5:$F$9,2,0)</f>
        <v/>
      </c>
      <c r="U21" s="5">
        <f>I21*VLOOKUP($E21,Tarifas!$B$5:$F$9,3,0)</f>
        <v/>
      </c>
      <c r="V21" s="5">
        <f>J21*VLOOKUP($E21,Tarifas!$B$5:$F$9,2,0)</f>
        <v/>
      </c>
      <c r="W21" s="5">
        <f>K21*VLOOKUP($E21,Tarifas!$B$5:$F$9,3,0)</f>
        <v/>
      </c>
      <c r="X21" s="5">
        <f>L21*VLOOKUP($E21,Tarifas!$B$5:$F$9,2,0)</f>
        <v/>
      </c>
      <c r="Y21" s="5">
        <f>M21*VLOOKUP($E21,Tarifas!$B$5:$F$9,3,0)</f>
        <v/>
      </c>
      <c r="Z21" s="5">
        <f>N21*VLOOKUP($E21,Tarifas!$B$5:$F$9,2,0)</f>
        <v/>
      </c>
      <c r="AA21" s="5">
        <f>O21*VLOOKUP($E21,Tarifas!$B$5:$F$9,3,0)</f>
        <v/>
      </c>
    </row>
    <row r="22">
      <c r="A22" t="inlineStr">
        <is>
          <t>RTA-02</t>
        </is>
      </c>
      <c r="B22" t="inlineStr">
        <is>
          <t>Asset RT interactuable (hotspots)</t>
        </is>
      </c>
      <c r="C22" t="inlineStr">
        <is>
          <t>asset-rt</t>
        </is>
      </c>
      <c r="D22" t="inlineStr">
        <is>
          <t>Interactividad basica</t>
        </is>
      </c>
      <c r="E22" t="inlineStr">
        <is>
          <t>RC-WEB</t>
        </is>
      </c>
      <c r="F22" s="8" t="n">
        <v>0</v>
      </c>
      <c r="G22" s="8" t="n">
        <v>0</v>
      </c>
      <c r="H22" s="8" t="n">
        <v>2</v>
      </c>
      <c r="I22" s="8" t="n">
        <v>4</v>
      </c>
      <c r="J22" s="8" t="n">
        <v>4</v>
      </c>
      <c r="K22" s="8" t="n">
        <v>8</v>
      </c>
      <c r="L22" s="8" t="n">
        <v>8</v>
      </c>
      <c r="M22" s="8" t="n">
        <v>16</v>
      </c>
      <c r="N22" s="8" t="n">
        <v>16</v>
      </c>
      <c r="O22" s="8" t="n">
        <v>32</v>
      </c>
      <c r="R22" s="5">
        <f>F22*VLOOKUP($E22,Tarifas!$B$5:$F$9,2,0)</f>
        <v/>
      </c>
      <c r="S22" s="5">
        <f>G22*VLOOKUP($E22,Tarifas!$B$5:$F$9,3,0)</f>
        <v/>
      </c>
      <c r="T22" s="5">
        <f>H22*VLOOKUP($E22,Tarifas!$B$5:$F$9,2,0)</f>
        <v/>
      </c>
      <c r="U22" s="5">
        <f>I22*VLOOKUP($E22,Tarifas!$B$5:$F$9,3,0)</f>
        <v/>
      </c>
      <c r="V22" s="5">
        <f>J22*VLOOKUP($E22,Tarifas!$B$5:$F$9,2,0)</f>
        <v/>
      </c>
      <c r="W22" s="5">
        <f>K22*VLOOKUP($E22,Tarifas!$B$5:$F$9,3,0)</f>
        <v/>
      </c>
      <c r="X22" s="5">
        <f>L22*VLOOKUP($E22,Tarifas!$B$5:$F$9,2,0)</f>
        <v/>
      </c>
      <c r="Y22" s="5">
        <f>M22*VLOOKUP($E22,Tarifas!$B$5:$F$9,3,0)</f>
        <v/>
      </c>
      <c r="Z22" s="5">
        <f>N22*VLOOKUP($E22,Tarifas!$B$5:$F$9,2,0)</f>
        <v/>
      </c>
      <c r="AA22" s="5">
        <f>O22*VLOOKUP($E22,Tarifas!$B$5:$F$9,3,0)</f>
        <v/>
      </c>
    </row>
    <row r="23">
      <c r="A23" t="inlineStr">
        <is>
          <t>CAD-01</t>
        </is>
      </c>
      <c r="B23" t="inlineStr">
        <is>
          <t>CAD a WebGL ready (servicio insignia)</t>
        </is>
      </c>
      <c r="C23" t="inlineStr">
        <is>
          <t>datos</t>
        </is>
      </c>
      <c r="D23" t="inlineStr">
        <is>
          <t>Ingesta CAD/QC</t>
        </is>
      </c>
      <c r="E23" t="inlineStr">
        <is>
          <t>RC-RTA</t>
        </is>
      </c>
      <c r="F23" s="8" t="n">
        <v>0.5</v>
      </c>
      <c r="G23" s="8" t="n">
        <v>1</v>
      </c>
      <c r="H23" s="8" t="n">
        <v>0.5</v>
      </c>
      <c r="I23" s="8" t="n">
        <v>1</v>
      </c>
      <c r="J23" s="8" t="n">
        <v>1</v>
      </c>
      <c r="K23" s="8" t="n">
        <v>3</v>
      </c>
      <c r="L23" s="8" t="n">
        <v>3</v>
      </c>
      <c r="M23" s="8" t="n">
        <v>6</v>
      </c>
      <c r="N23" s="8" t="n">
        <v>6</v>
      </c>
      <c r="O23" s="8" t="n">
        <v>15</v>
      </c>
      <c r="R23" s="5">
        <f>F23*VLOOKUP($E23,Tarifas!$B$5:$F$9,2,0)</f>
        <v/>
      </c>
      <c r="S23" s="5">
        <f>G23*VLOOKUP($E23,Tarifas!$B$5:$F$9,3,0)</f>
        <v/>
      </c>
      <c r="T23" s="5">
        <f>H23*VLOOKUP($E23,Tarifas!$B$5:$F$9,2,0)</f>
        <v/>
      </c>
      <c r="U23" s="5">
        <f>I23*VLOOKUP($E23,Tarifas!$B$5:$F$9,3,0)</f>
        <v/>
      </c>
      <c r="V23" s="5">
        <f>J23*VLOOKUP($E23,Tarifas!$B$5:$F$9,2,0)</f>
        <v/>
      </c>
      <c r="W23" s="5">
        <f>K23*VLOOKUP($E23,Tarifas!$B$5:$F$9,3,0)</f>
        <v/>
      </c>
      <c r="X23" s="5">
        <f>L23*VLOOKUP($E23,Tarifas!$B$5:$F$9,2,0)</f>
        <v/>
      </c>
      <c r="Y23" s="5">
        <f>M23*VLOOKUP($E23,Tarifas!$B$5:$F$9,3,0)</f>
        <v/>
      </c>
      <c r="Z23" s="5">
        <f>N23*VLOOKUP($E23,Tarifas!$B$5:$F$9,2,0)</f>
        <v/>
      </c>
      <c r="AA23" s="5">
        <f>O23*VLOOKUP($E23,Tarifas!$B$5:$F$9,3,0)</f>
        <v/>
      </c>
    </row>
    <row r="24">
      <c r="A24" t="inlineStr">
        <is>
          <t>CAD-01</t>
        </is>
      </c>
      <c r="B24" t="inlineStr">
        <is>
          <t>CAD a WebGL ready (servicio insignia)</t>
        </is>
      </c>
      <c r="C24" t="inlineStr">
        <is>
          <t>datos</t>
        </is>
      </c>
      <c r="D24" t="inlineStr">
        <is>
          <t>Decimado/retopo por pieza</t>
        </is>
      </c>
      <c r="E24" t="inlineStr">
        <is>
          <t>RC-RTA</t>
        </is>
      </c>
      <c r="F24" s="8" t="n">
        <v>0.75</v>
      </c>
      <c r="G24" s="8" t="n">
        <v>1.5</v>
      </c>
      <c r="H24" s="8" t="n">
        <v>1</v>
      </c>
      <c r="I24" s="8" t="n">
        <v>3</v>
      </c>
      <c r="J24" s="8" t="n">
        <v>3</v>
      </c>
      <c r="K24" s="8" t="n">
        <v>10</v>
      </c>
      <c r="L24" s="8" t="n">
        <v>10</v>
      </c>
      <c r="M24" s="8" t="n">
        <v>30</v>
      </c>
      <c r="N24" s="8" t="n">
        <v>30</v>
      </c>
      <c r="O24" s="8" t="n">
        <v>100</v>
      </c>
      <c r="R24" s="5">
        <f>F24*VLOOKUP($E24,Tarifas!$B$5:$F$9,2,0)</f>
        <v/>
      </c>
      <c r="S24" s="5">
        <f>G24*VLOOKUP($E24,Tarifas!$B$5:$F$9,3,0)</f>
        <v/>
      </c>
      <c r="T24" s="5">
        <f>H24*VLOOKUP($E24,Tarifas!$B$5:$F$9,2,0)</f>
        <v/>
      </c>
      <c r="U24" s="5">
        <f>I24*VLOOKUP($E24,Tarifas!$B$5:$F$9,3,0)</f>
        <v/>
      </c>
      <c r="V24" s="5">
        <f>J24*VLOOKUP($E24,Tarifas!$B$5:$F$9,2,0)</f>
        <v/>
      </c>
      <c r="W24" s="5">
        <f>K24*VLOOKUP($E24,Tarifas!$B$5:$F$9,3,0)</f>
        <v/>
      </c>
      <c r="X24" s="5">
        <f>L24*VLOOKUP($E24,Tarifas!$B$5:$F$9,2,0)</f>
        <v/>
      </c>
      <c r="Y24" s="5">
        <f>M24*VLOOKUP($E24,Tarifas!$B$5:$F$9,3,0)</f>
        <v/>
      </c>
      <c r="Z24" s="5">
        <f>N24*VLOOKUP($E24,Tarifas!$B$5:$F$9,2,0)</f>
        <v/>
      </c>
      <c r="AA24" s="5">
        <f>O24*VLOOKUP($E24,Tarifas!$B$5:$F$9,3,0)</f>
        <v/>
      </c>
    </row>
    <row r="25">
      <c r="A25" t="inlineStr">
        <is>
          <t>CAD-01</t>
        </is>
      </c>
      <c r="B25" t="inlineStr">
        <is>
          <t>CAD a WebGL ready (servicio insignia)</t>
        </is>
      </c>
      <c r="C25" t="inlineStr">
        <is>
          <t>datos</t>
        </is>
      </c>
      <c r="D25" t="inlineStr">
        <is>
          <t>UVs + baking batch</t>
        </is>
      </c>
      <c r="E25" t="inlineStr">
        <is>
          <t>RC-RTA</t>
        </is>
      </c>
      <c r="F25" s="8" t="n">
        <v>0.5</v>
      </c>
      <c r="G25" s="8" t="n">
        <v>1.25</v>
      </c>
      <c r="H25" s="8" t="n">
        <v>1</v>
      </c>
      <c r="I25" s="8" t="n">
        <v>2</v>
      </c>
      <c r="J25" s="8" t="n">
        <v>2</v>
      </c>
      <c r="K25" s="8" t="n">
        <v>6</v>
      </c>
      <c r="L25" s="8" t="n">
        <v>6</v>
      </c>
      <c r="M25" s="8" t="n">
        <v>15</v>
      </c>
      <c r="N25" s="8" t="n">
        <v>15</v>
      </c>
      <c r="O25" s="8" t="n">
        <v>40</v>
      </c>
      <c r="R25" s="5">
        <f>F25*VLOOKUP($E25,Tarifas!$B$5:$F$9,2,0)</f>
        <v/>
      </c>
      <c r="S25" s="5">
        <f>G25*VLOOKUP($E25,Tarifas!$B$5:$F$9,3,0)</f>
        <v/>
      </c>
      <c r="T25" s="5">
        <f>H25*VLOOKUP($E25,Tarifas!$B$5:$F$9,2,0)</f>
        <v/>
      </c>
      <c r="U25" s="5">
        <f>I25*VLOOKUP($E25,Tarifas!$B$5:$F$9,3,0)</f>
        <v/>
      </c>
      <c r="V25" s="5">
        <f>J25*VLOOKUP($E25,Tarifas!$B$5:$F$9,2,0)</f>
        <v/>
      </c>
      <c r="W25" s="5">
        <f>K25*VLOOKUP($E25,Tarifas!$B$5:$F$9,3,0)</f>
        <v/>
      </c>
      <c r="X25" s="5">
        <f>L25*VLOOKUP($E25,Tarifas!$B$5:$F$9,2,0)</f>
        <v/>
      </c>
      <c r="Y25" s="5">
        <f>M25*VLOOKUP($E25,Tarifas!$B$5:$F$9,3,0)</f>
        <v/>
      </c>
      <c r="Z25" s="5">
        <f>N25*VLOOKUP($E25,Tarifas!$B$5:$F$9,2,0)</f>
        <v/>
      </c>
      <c r="AA25" s="5">
        <f>O25*VLOOKUP($E25,Tarifas!$B$5:$F$9,3,0)</f>
        <v/>
      </c>
    </row>
    <row r="26">
      <c r="A26" t="inlineStr">
        <is>
          <t>CAD-01</t>
        </is>
      </c>
      <c r="B26" t="inlineStr">
        <is>
          <t>CAD a WebGL ready (servicio insignia)</t>
        </is>
      </c>
      <c r="C26" t="inlineStr">
        <is>
          <t>datos</t>
        </is>
      </c>
      <c r="D26" t="inlineStr">
        <is>
          <t>Texturas PBR tecnicos</t>
        </is>
      </c>
      <c r="E26" t="inlineStr">
        <is>
          <t>RC-ART</t>
        </is>
      </c>
      <c r="F26" s="8" t="n">
        <v>0.75</v>
      </c>
      <c r="G26" s="8" t="n">
        <v>1.5</v>
      </c>
      <c r="H26" s="8" t="n">
        <v>1</v>
      </c>
      <c r="I26" s="8" t="n">
        <v>3</v>
      </c>
      <c r="J26" s="8" t="n">
        <v>3</v>
      </c>
      <c r="K26" s="8" t="n">
        <v>8</v>
      </c>
      <c r="L26" s="8" t="n">
        <v>8</v>
      </c>
      <c r="M26" s="8" t="n">
        <v>20</v>
      </c>
      <c r="N26" s="8" t="n">
        <v>20</v>
      </c>
      <c r="O26" s="8" t="n">
        <v>45</v>
      </c>
      <c r="R26" s="5">
        <f>F26*VLOOKUP($E26,Tarifas!$B$5:$F$9,2,0)</f>
        <v/>
      </c>
      <c r="S26" s="5">
        <f>G26*VLOOKUP($E26,Tarifas!$B$5:$F$9,3,0)</f>
        <v/>
      </c>
      <c r="T26" s="5">
        <f>H26*VLOOKUP($E26,Tarifas!$B$5:$F$9,2,0)</f>
        <v/>
      </c>
      <c r="U26" s="5">
        <f>I26*VLOOKUP($E26,Tarifas!$B$5:$F$9,3,0)</f>
        <v/>
      </c>
      <c r="V26" s="5">
        <f>J26*VLOOKUP($E26,Tarifas!$B$5:$F$9,2,0)</f>
        <v/>
      </c>
      <c r="W26" s="5">
        <f>K26*VLOOKUP($E26,Tarifas!$B$5:$F$9,3,0)</f>
        <v/>
      </c>
      <c r="X26" s="5">
        <f>L26*VLOOKUP($E26,Tarifas!$B$5:$F$9,2,0)</f>
        <v/>
      </c>
      <c r="Y26" s="5">
        <f>M26*VLOOKUP($E26,Tarifas!$B$5:$F$9,3,0)</f>
        <v/>
      </c>
      <c r="Z26" s="5">
        <f>N26*VLOOKUP($E26,Tarifas!$B$5:$F$9,2,0)</f>
        <v/>
      </c>
      <c r="AA26" s="5">
        <f>O26*VLOOKUP($E26,Tarifas!$B$5:$F$9,3,0)</f>
        <v/>
      </c>
    </row>
    <row r="27">
      <c r="A27" t="inlineStr">
        <is>
          <t>CAD-01</t>
        </is>
      </c>
      <c r="B27" t="inlineStr">
        <is>
          <t>CAD a WebGL ready (servicio insignia)</t>
        </is>
      </c>
      <c r="C27" t="inlineStr">
        <is>
          <t>datos</t>
        </is>
      </c>
      <c r="D27" t="inlineStr">
        <is>
          <t>Jerarquia/metadata por pieza</t>
        </is>
      </c>
      <c r="E27" t="inlineStr">
        <is>
          <t>RC-RTA</t>
        </is>
      </c>
      <c r="F27" s="8" t="n">
        <v>0.25</v>
      </c>
      <c r="G27" s="8" t="n">
        <v>0.75</v>
      </c>
      <c r="H27" s="8" t="n">
        <v>0.5</v>
      </c>
      <c r="I27" s="8" t="n">
        <v>1</v>
      </c>
      <c r="J27" s="8" t="n">
        <v>1</v>
      </c>
      <c r="K27" s="8" t="n">
        <v>3</v>
      </c>
      <c r="L27" s="8" t="n">
        <v>3</v>
      </c>
      <c r="M27" s="8" t="n">
        <v>8</v>
      </c>
      <c r="N27" s="8" t="n">
        <v>8</v>
      </c>
      <c r="O27" s="8" t="n">
        <v>20</v>
      </c>
      <c r="R27" s="5">
        <f>F27*VLOOKUP($E27,Tarifas!$B$5:$F$9,2,0)</f>
        <v/>
      </c>
      <c r="S27" s="5">
        <f>G27*VLOOKUP($E27,Tarifas!$B$5:$F$9,3,0)</f>
        <v/>
      </c>
      <c r="T27" s="5">
        <f>H27*VLOOKUP($E27,Tarifas!$B$5:$F$9,2,0)</f>
        <v/>
      </c>
      <c r="U27" s="5">
        <f>I27*VLOOKUP($E27,Tarifas!$B$5:$F$9,3,0)</f>
        <v/>
      </c>
      <c r="V27" s="5">
        <f>J27*VLOOKUP($E27,Tarifas!$B$5:$F$9,2,0)</f>
        <v/>
      </c>
      <c r="W27" s="5">
        <f>K27*VLOOKUP($E27,Tarifas!$B$5:$F$9,3,0)</f>
        <v/>
      </c>
      <c r="X27" s="5">
        <f>L27*VLOOKUP($E27,Tarifas!$B$5:$F$9,2,0)</f>
        <v/>
      </c>
      <c r="Y27" s="5">
        <f>M27*VLOOKUP($E27,Tarifas!$B$5:$F$9,3,0)</f>
        <v/>
      </c>
      <c r="Z27" s="5">
        <f>N27*VLOOKUP($E27,Tarifas!$B$5:$F$9,2,0)</f>
        <v/>
      </c>
      <c r="AA27" s="5">
        <f>O27*VLOOKUP($E27,Tarifas!$B$5:$F$9,3,0)</f>
        <v/>
      </c>
    </row>
    <row r="28">
      <c r="A28" t="inlineStr">
        <is>
          <t>CAD-01</t>
        </is>
      </c>
      <c r="B28" t="inlineStr">
        <is>
          <t>CAD a WebGL ready (servicio insignia)</t>
        </is>
      </c>
      <c r="C28" t="inlineStr">
        <is>
          <t>datos</t>
        </is>
      </c>
      <c r="D28" t="inlineStr">
        <is>
          <t>LODs + compresion</t>
        </is>
      </c>
      <c r="E28" t="inlineStr">
        <is>
          <t>RC-RTA</t>
        </is>
      </c>
      <c r="F28" s="8" t="n">
        <v>0.25</v>
      </c>
      <c r="G28" s="8" t="n">
        <v>0.75</v>
      </c>
      <c r="H28" s="8" t="n">
        <v>0.5</v>
      </c>
      <c r="I28" s="8" t="n">
        <v>1</v>
      </c>
      <c r="J28" s="8" t="n">
        <v>1</v>
      </c>
      <c r="K28" s="8" t="n">
        <v>3</v>
      </c>
      <c r="L28" s="8" t="n">
        <v>3</v>
      </c>
      <c r="M28" s="8" t="n">
        <v>8</v>
      </c>
      <c r="N28" s="8" t="n">
        <v>8</v>
      </c>
      <c r="O28" s="8" t="n">
        <v>18</v>
      </c>
      <c r="R28" s="5">
        <f>F28*VLOOKUP($E28,Tarifas!$B$5:$F$9,2,0)</f>
        <v/>
      </c>
      <c r="S28" s="5">
        <f>G28*VLOOKUP($E28,Tarifas!$B$5:$F$9,3,0)</f>
        <v/>
      </c>
      <c r="T28" s="5">
        <f>H28*VLOOKUP($E28,Tarifas!$B$5:$F$9,2,0)</f>
        <v/>
      </c>
      <c r="U28" s="5">
        <f>I28*VLOOKUP($E28,Tarifas!$B$5:$F$9,3,0)</f>
        <v/>
      </c>
      <c r="V28" s="5">
        <f>J28*VLOOKUP($E28,Tarifas!$B$5:$F$9,2,0)</f>
        <v/>
      </c>
      <c r="W28" s="5">
        <f>K28*VLOOKUP($E28,Tarifas!$B$5:$F$9,3,0)</f>
        <v/>
      </c>
      <c r="X28" s="5">
        <f>L28*VLOOKUP($E28,Tarifas!$B$5:$F$9,2,0)</f>
        <v/>
      </c>
      <c r="Y28" s="5">
        <f>M28*VLOOKUP($E28,Tarifas!$B$5:$F$9,3,0)</f>
        <v/>
      </c>
      <c r="Z28" s="5">
        <f>N28*VLOOKUP($E28,Tarifas!$B$5:$F$9,2,0)</f>
        <v/>
      </c>
      <c r="AA28" s="5">
        <f>O28*VLOOKUP($E28,Tarifas!$B$5:$F$9,3,0)</f>
        <v/>
      </c>
    </row>
    <row r="29">
      <c r="A29" t="inlineStr">
        <is>
          <t>CAD-01</t>
        </is>
      </c>
      <c r="B29" t="inlineStr">
        <is>
          <t>CAD a WebGL ready (servicio insignia)</t>
        </is>
      </c>
      <c r="C29" t="inlineStr">
        <is>
          <t>datos</t>
        </is>
      </c>
      <c r="D29" t="inlineStr">
        <is>
          <t>QA visor + reporte perf</t>
        </is>
      </c>
      <c r="E29" t="inlineStr">
        <is>
          <t>RC-WEB</t>
        </is>
      </c>
      <c r="F29" s="8" t="n">
        <v>0.25</v>
      </c>
      <c r="G29" s="8" t="n">
        <v>0.75</v>
      </c>
      <c r="H29" s="8" t="n">
        <v>0.5</v>
      </c>
      <c r="I29" s="8" t="n">
        <v>1</v>
      </c>
      <c r="J29" s="8" t="n">
        <v>1</v>
      </c>
      <c r="K29" s="8" t="n">
        <v>2</v>
      </c>
      <c r="L29" s="8" t="n">
        <v>2</v>
      </c>
      <c r="M29" s="8" t="n">
        <v>5</v>
      </c>
      <c r="N29" s="8" t="n">
        <v>5</v>
      </c>
      <c r="O29" s="8" t="n">
        <v>12</v>
      </c>
      <c r="R29" s="5">
        <f>F29*VLOOKUP($E29,Tarifas!$B$5:$F$9,2,0)</f>
        <v/>
      </c>
      <c r="S29" s="5">
        <f>G29*VLOOKUP($E29,Tarifas!$B$5:$F$9,3,0)</f>
        <v/>
      </c>
      <c r="T29" s="5">
        <f>H29*VLOOKUP($E29,Tarifas!$B$5:$F$9,2,0)</f>
        <v/>
      </c>
      <c r="U29" s="5">
        <f>I29*VLOOKUP($E29,Tarifas!$B$5:$F$9,3,0)</f>
        <v/>
      </c>
      <c r="V29" s="5">
        <f>J29*VLOOKUP($E29,Tarifas!$B$5:$F$9,2,0)</f>
        <v/>
      </c>
      <c r="W29" s="5">
        <f>K29*VLOOKUP($E29,Tarifas!$B$5:$F$9,3,0)</f>
        <v/>
      </c>
      <c r="X29" s="5">
        <f>L29*VLOOKUP($E29,Tarifas!$B$5:$F$9,2,0)</f>
        <v/>
      </c>
      <c r="Y29" s="5">
        <f>M29*VLOOKUP($E29,Tarifas!$B$5:$F$9,3,0)</f>
        <v/>
      </c>
      <c r="Z29" s="5">
        <f>N29*VLOOKUP($E29,Tarifas!$B$5:$F$9,2,0)</f>
        <v/>
      </c>
      <c r="AA29" s="5">
        <f>O29*VLOOKUP($E29,Tarifas!$B$5:$F$9,3,0)</f>
        <v/>
      </c>
    </row>
    <row r="30">
      <c r="A30" t="inlineStr">
        <is>
          <t>WEB-01</t>
        </is>
      </c>
      <c r="B30" t="inlineStr">
        <is>
          <t>Visor custom three.js / Babylon.js</t>
        </is>
      </c>
      <c r="C30" t="inlineStr">
        <is>
          <t>web-3d</t>
        </is>
      </c>
      <c r="D30" t="inlineStr">
        <is>
          <t>Spec + pipeline de carga</t>
        </is>
      </c>
      <c r="E30" t="inlineStr">
        <is>
          <t>RC-WEB</t>
        </is>
      </c>
      <c r="F30" s="8" t="n">
        <v>0</v>
      </c>
      <c r="G30" s="8" t="n">
        <v>0</v>
      </c>
      <c r="H30" s="8" t="n">
        <v>2.5</v>
      </c>
      <c r="I30" s="8" t="n">
        <v>6</v>
      </c>
      <c r="J30" s="8" t="n">
        <v>7</v>
      </c>
      <c r="K30" s="8" t="n">
        <v>13</v>
      </c>
      <c r="L30" s="8" t="n">
        <v>14</v>
      </c>
      <c r="M30" s="8" t="n">
        <v>28</v>
      </c>
      <c r="N30" s="8" t="n">
        <v>28</v>
      </c>
      <c r="O30" s="8" t="n">
        <v>56</v>
      </c>
      <c r="R30" s="5">
        <f>F30*VLOOKUP($E30,Tarifas!$B$5:$F$9,2,0)</f>
        <v/>
      </c>
      <c r="S30" s="5">
        <f>G30*VLOOKUP($E30,Tarifas!$B$5:$F$9,3,0)</f>
        <v/>
      </c>
      <c r="T30" s="5">
        <f>H30*VLOOKUP($E30,Tarifas!$B$5:$F$9,2,0)</f>
        <v/>
      </c>
      <c r="U30" s="5">
        <f>I30*VLOOKUP($E30,Tarifas!$B$5:$F$9,3,0)</f>
        <v/>
      </c>
      <c r="V30" s="5">
        <f>J30*VLOOKUP($E30,Tarifas!$B$5:$F$9,2,0)</f>
        <v/>
      </c>
      <c r="W30" s="5">
        <f>K30*VLOOKUP($E30,Tarifas!$B$5:$F$9,3,0)</f>
        <v/>
      </c>
      <c r="X30" s="5">
        <f>L30*VLOOKUP($E30,Tarifas!$B$5:$F$9,2,0)</f>
        <v/>
      </c>
      <c r="Y30" s="5">
        <f>M30*VLOOKUP($E30,Tarifas!$B$5:$F$9,3,0)</f>
        <v/>
      </c>
      <c r="Z30" s="5">
        <f>N30*VLOOKUP($E30,Tarifas!$B$5:$F$9,2,0)</f>
        <v/>
      </c>
      <c r="AA30" s="5">
        <f>O30*VLOOKUP($E30,Tarifas!$B$5:$F$9,3,0)</f>
        <v/>
      </c>
    </row>
    <row r="31">
      <c r="A31" t="inlineStr">
        <is>
          <t>WEB-01</t>
        </is>
      </c>
      <c r="B31" t="inlineStr">
        <is>
          <t>Visor custom three.js / Babylon.js</t>
        </is>
      </c>
      <c r="C31" t="inlineStr">
        <is>
          <t>web-3d</t>
        </is>
      </c>
      <c r="D31" t="inlineStr">
        <is>
          <t>Interaccion + UI overlay</t>
        </is>
      </c>
      <c r="E31" t="inlineStr">
        <is>
          <t>RC-WEB</t>
        </is>
      </c>
      <c r="F31" s="8" t="n">
        <v>0</v>
      </c>
      <c r="G31" s="8" t="n">
        <v>0</v>
      </c>
      <c r="H31" s="8" t="n">
        <v>3.5</v>
      </c>
      <c r="I31" s="8" t="n">
        <v>9</v>
      </c>
      <c r="J31" s="8" t="n">
        <v>9</v>
      </c>
      <c r="K31" s="8" t="n">
        <v>18</v>
      </c>
      <c r="L31" s="8" t="n">
        <v>18</v>
      </c>
      <c r="M31" s="8" t="n">
        <v>38</v>
      </c>
      <c r="N31" s="8" t="n">
        <v>38</v>
      </c>
      <c r="O31" s="8" t="n">
        <v>76</v>
      </c>
      <c r="R31" s="5">
        <f>F31*VLOOKUP($E31,Tarifas!$B$5:$F$9,2,0)</f>
        <v/>
      </c>
      <c r="S31" s="5">
        <f>G31*VLOOKUP($E31,Tarifas!$B$5:$F$9,3,0)</f>
        <v/>
      </c>
      <c r="T31" s="5">
        <f>H31*VLOOKUP($E31,Tarifas!$B$5:$F$9,2,0)</f>
        <v/>
      </c>
      <c r="U31" s="5">
        <f>I31*VLOOKUP($E31,Tarifas!$B$5:$F$9,3,0)</f>
        <v/>
      </c>
      <c r="V31" s="5">
        <f>J31*VLOOKUP($E31,Tarifas!$B$5:$F$9,2,0)</f>
        <v/>
      </c>
      <c r="W31" s="5">
        <f>K31*VLOOKUP($E31,Tarifas!$B$5:$F$9,3,0)</f>
        <v/>
      </c>
      <c r="X31" s="5">
        <f>L31*VLOOKUP($E31,Tarifas!$B$5:$F$9,2,0)</f>
        <v/>
      </c>
      <c r="Y31" s="5">
        <f>M31*VLOOKUP($E31,Tarifas!$B$5:$F$9,3,0)</f>
        <v/>
      </c>
      <c r="Z31" s="5">
        <f>N31*VLOOKUP($E31,Tarifas!$B$5:$F$9,2,0)</f>
        <v/>
      </c>
      <c r="AA31" s="5">
        <f>O31*VLOOKUP($E31,Tarifas!$B$5:$F$9,3,0)</f>
        <v/>
      </c>
    </row>
    <row r="32">
      <c r="A32" t="inlineStr">
        <is>
          <t>WEB-01</t>
        </is>
      </c>
      <c r="B32" t="inlineStr">
        <is>
          <t>Visor custom three.js / Babylon.js</t>
        </is>
      </c>
      <c r="C32" t="inlineStr">
        <is>
          <t>web-3d</t>
        </is>
      </c>
      <c r="D32" t="inlineStr">
        <is>
          <t>Perf movil + QA + entrega</t>
        </is>
      </c>
      <c r="E32" t="inlineStr">
        <is>
          <t>RC-WEB</t>
        </is>
      </c>
      <c r="F32" s="8" t="n">
        <v>0</v>
      </c>
      <c r="G32" s="8" t="n">
        <v>0</v>
      </c>
      <c r="H32" s="8" t="n">
        <v>1.5</v>
      </c>
      <c r="I32" s="8" t="n">
        <v>5</v>
      </c>
      <c r="J32" s="8" t="n">
        <v>4</v>
      </c>
      <c r="K32" s="8" t="n">
        <v>9</v>
      </c>
      <c r="L32" s="8" t="n">
        <v>10</v>
      </c>
      <c r="M32" s="8" t="n">
        <v>22</v>
      </c>
      <c r="N32" s="8" t="n">
        <v>22</v>
      </c>
      <c r="O32" s="8" t="n">
        <v>49</v>
      </c>
      <c r="R32" s="5">
        <f>F32*VLOOKUP($E32,Tarifas!$B$5:$F$9,2,0)</f>
        <v/>
      </c>
      <c r="S32" s="5">
        <f>G32*VLOOKUP($E32,Tarifas!$B$5:$F$9,3,0)</f>
        <v/>
      </c>
      <c r="T32" s="5">
        <f>H32*VLOOKUP($E32,Tarifas!$B$5:$F$9,2,0)</f>
        <v/>
      </c>
      <c r="U32" s="5">
        <f>I32*VLOOKUP($E32,Tarifas!$B$5:$F$9,3,0)</f>
        <v/>
      </c>
      <c r="V32" s="5">
        <f>J32*VLOOKUP($E32,Tarifas!$B$5:$F$9,2,0)</f>
        <v/>
      </c>
      <c r="W32" s="5">
        <f>K32*VLOOKUP($E32,Tarifas!$B$5:$F$9,3,0)</f>
        <v/>
      </c>
      <c r="X32" s="5">
        <f>L32*VLOOKUP($E32,Tarifas!$B$5:$F$9,2,0)</f>
        <v/>
      </c>
      <c r="Y32" s="5">
        <f>M32*VLOOKUP($E32,Tarifas!$B$5:$F$9,3,0)</f>
        <v/>
      </c>
      <c r="Z32" s="5">
        <f>N32*VLOOKUP($E32,Tarifas!$B$5:$F$9,2,0)</f>
        <v/>
      </c>
      <c r="AA32" s="5">
        <f>O32*VLOOKUP($E32,Tarifas!$B$5:$F$9,3,0)</f>
        <v/>
      </c>
    </row>
    <row r="33">
      <c r="A33" t="inlineStr">
        <is>
          <t>WEB-04</t>
        </is>
      </c>
      <c r="B33" t="inlineStr">
        <is>
          <t>Web App 3D (configurador/herramienta)</t>
        </is>
      </c>
      <c r="C33" t="inlineStr">
        <is>
          <t>web-3d</t>
        </is>
      </c>
      <c r="D33" t="inlineStr">
        <is>
          <t>Discovery/spec funcional</t>
        </is>
      </c>
      <c r="E33" t="inlineStr">
        <is>
          <t>RC-WEB</t>
        </is>
      </c>
      <c r="F33" s="8" t="n">
        <v>0</v>
      </c>
      <c r="G33" s="8" t="n">
        <v>0</v>
      </c>
      <c r="H33" s="8" t="n">
        <v>5</v>
      </c>
      <c r="I33" s="8" t="n">
        <v>11</v>
      </c>
      <c r="J33" s="8" t="n">
        <v>11</v>
      </c>
      <c r="K33" s="8" t="n">
        <v>26</v>
      </c>
      <c r="L33" s="8" t="n">
        <v>27</v>
      </c>
      <c r="M33" s="8" t="n">
        <v>57</v>
      </c>
      <c r="N33" s="8" t="n">
        <v>57</v>
      </c>
      <c r="O33" s="8" t="n">
        <v>112</v>
      </c>
      <c r="R33" s="5">
        <f>F33*VLOOKUP($E33,Tarifas!$B$5:$F$9,2,0)</f>
        <v/>
      </c>
      <c r="S33" s="5">
        <f>G33*VLOOKUP($E33,Tarifas!$B$5:$F$9,3,0)</f>
        <v/>
      </c>
      <c r="T33" s="5">
        <f>H33*VLOOKUP($E33,Tarifas!$B$5:$F$9,2,0)</f>
        <v/>
      </c>
      <c r="U33" s="5">
        <f>I33*VLOOKUP($E33,Tarifas!$B$5:$F$9,3,0)</f>
        <v/>
      </c>
      <c r="V33" s="5">
        <f>J33*VLOOKUP($E33,Tarifas!$B$5:$F$9,2,0)</f>
        <v/>
      </c>
      <c r="W33" s="5">
        <f>K33*VLOOKUP($E33,Tarifas!$B$5:$F$9,3,0)</f>
        <v/>
      </c>
      <c r="X33" s="5">
        <f>L33*VLOOKUP($E33,Tarifas!$B$5:$F$9,2,0)</f>
        <v/>
      </c>
      <c r="Y33" s="5">
        <f>M33*VLOOKUP($E33,Tarifas!$B$5:$F$9,3,0)</f>
        <v/>
      </c>
      <c r="Z33" s="5">
        <f>N33*VLOOKUP($E33,Tarifas!$B$5:$F$9,2,0)</f>
        <v/>
      </c>
      <c r="AA33" s="5">
        <f>O33*VLOOKUP($E33,Tarifas!$B$5:$F$9,3,0)</f>
        <v/>
      </c>
    </row>
    <row r="34">
      <c r="A34" t="inlineStr">
        <is>
          <t>WEB-04</t>
        </is>
      </c>
      <c r="B34" t="inlineStr">
        <is>
          <t>Web App 3D (configurador/herramienta)</t>
        </is>
      </c>
      <c r="C34" t="inlineStr">
        <is>
          <t>web-3d</t>
        </is>
      </c>
      <c r="D34" t="inlineStr">
        <is>
          <t>Arquitectura + escena configurable</t>
        </is>
      </c>
      <c r="E34" t="inlineStr">
        <is>
          <t>RC-WEB</t>
        </is>
      </c>
      <c r="F34" s="8" t="n">
        <v>0</v>
      </c>
      <c r="G34" s="8" t="n">
        <v>0</v>
      </c>
      <c r="H34" s="8" t="n">
        <v>11</v>
      </c>
      <c r="I34" s="8" t="n">
        <v>23</v>
      </c>
      <c r="J34" s="8" t="n">
        <v>23</v>
      </c>
      <c r="K34" s="8" t="n">
        <v>58</v>
      </c>
      <c r="L34" s="8" t="n">
        <v>58</v>
      </c>
      <c r="M34" s="8" t="n">
        <v>124</v>
      </c>
      <c r="N34" s="8" t="n">
        <v>124</v>
      </c>
      <c r="O34" s="8" t="n">
        <v>244</v>
      </c>
      <c r="R34" s="5">
        <f>F34*VLOOKUP($E34,Tarifas!$B$5:$F$9,2,0)</f>
        <v/>
      </c>
      <c r="S34" s="5">
        <f>G34*VLOOKUP($E34,Tarifas!$B$5:$F$9,3,0)</f>
        <v/>
      </c>
      <c r="T34" s="5">
        <f>H34*VLOOKUP($E34,Tarifas!$B$5:$F$9,2,0)</f>
        <v/>
      </c>
      <c r="U34" s="5">
        <f>I34*VLOOKUP($E34,Tarifas!$B$5:$F$9,3,0)</f>
        <v/>
      </c>
      <c r="V34" s="5">
        <f>J34*VLOOKUP($E34,Tarifas!$B$5:$F$9,2,0)</f>
        <v/>
      </c>
      <c r="W34" s="5">
        <f>K34*VLOOKUP($E34,Tarifas!$B$5:$F$9,3,0)</f>
        <v/>
      </c>
      <c r="X34" s="5">
        <f>L34*VLOOKUP($E34,Tarifas!$B$5:$F$9,2,0)</f>
        <v/>
      </c>
      <c r="Y34" s="5">
        <f>M34*VLOOKUP($E34,Tarifas!$B$5:$F$9,3,0)</f>
        <v/>
      </c>
      <c r="Z34" s="5">
        <f>N34*VLOOKUP($E34,Tarifas!$B$5:$F$9,2,0)</f>
        <v/>
      </c>
      <c r="AA34" s="5">
        <f>O34*VLOOKUP($E34,Tarifas!$B$5:$F$9,3,0)</f>
        <v/>
      </c>
    </row>
    <row r="35">
      <c r="A35" t="inlineStr">
        <is>
          <t>WEB-04</t>
        </is>
      </c>
      <c r="B35" t="inlineStr">
        <is>
          <t>Web App 3D (configurador/herramienta)</t>
        </is>
      </c>
      <c r="C35" t="inlineStr">
        <is>
          <t>web-3d</t>
        </is>
      </c>
      <c r="D35" t="inlineStr">
        <is>
          <t>QA/E2E + perf + deploy</t>
        </is>
      </c>
      <c r="E35" t="inlineStr">
        <is>
          <t>RC-WEB</t>
        </is>
      </c>
      <c r="F35" s="8" t="n">
        <v>0</v>
      </c>
      <c r="G35" s="8" t="n">
        <v>0</v>
      </c>
      <c r="H35" s="8" t="n">
        <v>5</v>
      </c>
      <c r="I35" s="8" t="n">
        <v>11</v>
      </c>
      <c r="J35" s="8" t="n">
        <v>11</v>
      </c>
      <c r="K35" s="8" t="n">
        <v>30</v>
      </c>
      <c r="L35" s="8" t="n">
        <v>29</v>
      </c>
      <c r="M35" s="8" t="n">
        <v>64</v>
      </c>
      <c r="N35" s="8" t="n">
        <v>64</v>
      </c>
      <c r="O35" s="8" t="n">
        <v>124</v>
      </c>
      <c r="R35" s="5">
        <f>F35*VLOOKUP($E35,Tarifas!$B$5:$F$9,2,0)</f>
        <v/>
      </c>
      <c r="S35" s="5">
        <f>G35*VLOOKUP($E35,Tarifas!$B$5:$F$9,3,0)</f>
        <v/>
      </c>
      <c r="T35" s="5">
        <f>H35*VLOOKUP($E35,Tarifas!$B$5:$F$9,2,0)</f>
        <v/>
      </c>
      <c r="U35" s="5">
        <f>I35*VLOOKUP($E35,Tarifas!$B$5:$F$9,3,0)</f>
        <v/>
      </c>
      <c r="V35" s="5">
        <f>J35*VLOOKUP($E35,Tarifas!$B$5:$F$9,2,0)</f>
        <v/>
      </c>
      <c r="W35" s="5">
        <f>K35*VLOOKUP($E35,Tarifas!$B$5:$F$9,3,0)</f>
        <v/>
      </c>
      <c r="X35" s="5">
        <f>L35*VLOOKUP($E35,Tarifas!$B$5:$F$9,2,0)</f>
        <v/>
      </c>
      <c r="Y35" s="5">
        <f>M35*VLOOKUP($E35,Tarifas!$B$5:$F$9,3,0)</f>
        <v/>
      </c>
      <c r="Z35" s="5">
        <f>N35*VLOOKUP($E35,Tarifas!$B$5:$F$9,2,0)</f>
        <v/>
      </c>
      <c r="AA35" s="5">
        <f>O35*VLOOKUP($E35,Tarifas!$B$5:$F$9,3,0)</f>
        <v/>
      </c>
    </row>
    <row r="36">
      <c r="A36" t="inlineStr">
        <is>
          <t>AI-01</t>
        </is>
      </c>
      <c r="B36" t="inlineStr">
        <is>
          <t>Asistente IA en sitio web (chat RAG)</t>
        </is>
      </c>
      <c r="C36" t="inlineStr">
        <is>
          <t>ia</t>
        </is>
      </c>
      <c r="D36" t="inlineStr">
        <is>
          <t>Discovery/casos de uso</t>
        </is>
      </c>
      <c r="E36" t="inlineStr">
        <is>
          <t>RC-AI</t>
        </is>
      </c>
      <c r="F36" s="8" t="n">
        <v>0</v>
      </c>
      <c r="G36" s="8" t="n">
        <v>0</v>
      </c>
      <c r="H36" s="8" t="n">
        <v>3</v>
      </c>
      <c r="I36" s="8" t="n">
        <v>5</v>
      </c>
      <c r="J36" s="8" t="n">
        <v>5</v>
      </c>
      <c r="K36" s="8" t="n">
        <v>8</v>
      </c>
      <c r="L36" s="8" t="n">
        <v>8</v>
      </c>
      <c r="M36" s="8" t="n">
        <v>14</v>
      </c>
      <c r="N36" s="8" t="n">
        <v>8</v>
      </c>
      <c r="O36" s="8" t="n">
        <v>14</v>
      </c>
      <c r="R36" s="5">
        <f>F36*VLOOKUP($E36,Tarifas!$B$5:$F$9,2,0)</f>
        <v/>
      </c>
      <c r="S36" s="5">
        <f>G36*VLOOKUP($E36,Tarifas!$B$5:$F$9,3,0)</f>
        <v/>
      </c>
      <c r="T36" s="5">
        <f>H36*VLOOKUP($E36,Tarifas!$B$5:$F$9,2,0)</f>
        <v/>
      </c>
      <c r="U36" s="5">
        <f>I36*VLOOKUP($E36,Tarifas!$B$5:$F$9,3,0)</f>
        <v/>
      </c>
      <c r="V36" s="5">
        <f>J36*VLOOKUP($E36,Tarifas!$B$5:$F$9,2,0)</f>
        <v/>
      </c>
      <c r="W36" s="5">
        <f>K36*VLOOKUP($E36,Tarifas!$B$5:$F$9,3,0)</f>
        <v/>
      </c>
      <c r="X36" s="5">
        <f>L36*VLOOKUP($E36,Tarifas!$B$5:$F$9,2,0)</f>
        <v/>
      </c>
      <c r="Y36" s="5">
        <f>M36*VLOOKUP($E36,Tarifas!$B$5:$F$9,3,0)</f>
        <v/>
      </c>
      <c r="Z36" s="5">
        <f>N36*VLOOKUP($E36,Tarifas!$B$5:$F$9,2,0)</f>
        <v/>
      </c>
      <c r="AA36" s="5">
        <f>O36*VLOOKUP($E36,Tarifas!$B$5:$F$9,3,0)</f>
        <v/>
      </c>
    </row>
    <row r="37">
      <c r="A37" t="inlineStr">
        <is>
          <t>AI-01</t>
        </is>
      </c>
      <c r="B37" t="inlineStr">
        <is>
          <t>Asistente IA en sitio web (chat RAG)</t>
        </is>
      </c>
      <c r="C37" t="inlineStr">
        <is>
          <t>ia</t>
        </is>
      </c>
      <c r="D37" t="inlineStr">
        <is>
          <t>Pipeline ingesta/RAG</t>
        </is>
      </c>
      <c r="E37" t="inlineStr">
        <is>
          <t>RC-AI</t>
        </is>
      </c>
      <c r="F37" s="8" t="n">
        <v>0</v>
      </c>
      <c r="G37" s="8" t="n">
        <v>0</v>
      </c>
      <c r="H37" s="8" t="n">
        <v>8</v>
      </c>
      <c r="I37" s="8" t="n">
        <v>16</v>
      </c>
      <c r="J37" s="8" t="n">
        <v>16</v>
      </c>
      <c r="K37" s="8" t="n">
        <v>30</v>
      </c>
      <c r="L37" s="8" t="n">
        <v>30</v>
      </c>
      <c r="M37" s="8" t="n">
        <v>60</v>
      </c>
      <c r="N37" s="8" t="n">
        <v>30</v>
      </c>
      <c r="O37" s="8" t="n">
        <v>60</v>
      </c>
      <c r="R37" s="5">
        <f>F37*VLOOKUP($E37,Tarifas!$B$5:$F$9,2,0)</f>
        <v/>
      </c>
      <c r="S37" s="5">
        <f>G37*VLOOKUP($E37,Tarifas!$B$5:$F$9,3,0)</f>
        <v/>
      </c>
      <c r="T37" s="5">
        <f>H37*VLOOKUP($E37,Tarifas!$B$5:$F$9,2,0)</f>
        <v/>
      </c>
      <c r="U37" s="5">
        <f>I37*VLOOKUP($E37,Tarifas!$B$5:$F$9,3,0)</f>
        <v/>
      </c>
      <c r="V37" s="5">
        <f>J37*VLOOKUP($E37,Tarifas!$B$5:$F$9,2,0)</f>
        <v/>
      </c>
      <c r="W37" s="5">
        <f>K37*VLOOKUP($E37,Tarifas!$B$5:$F$9,3,0)</f>
        <v/>
      </c>
      <c r="X37" s="5">
        <f>L37*VLOOKUP($E37,Tarifas!$B$5:$F$9,2,0)</f>
        <v/>
      </c>
      <c r="Y37" s="5">
        <f>M37*VLOOKUP($E37,Tarifas!$B$5:$F$9,3,0)</f>
        <v/>
      </c>
      <c r="Z37" s="5">
        <f>N37*VLOOKUP($E37,Tarifas!$B$5:$F$9,2,0)</f>
        <v/>
      </c>
      <c r="AA37" s="5">
        <f>O37*VLOOKUP($E37,Tarifas!$B$5:$F$9,3,0)</f>
        <v/>
      </c>
    </row>
    <row r="38">
      <c r="A38" t="inlineStr">
        <is>
          <t>AI-01</t>
        </is>
      </c>
      <c r="B38" t="inlineStr">
        <is>
          <t>Asistente IA en sitio web (chat RAG)</t>
        </is>
      </c>
      <c r="C38" t="inlineStr">
        <is>
          <t>ia</t>
        </is>
      </c>
      <c r="D38" t="inlineStr">
        <is>
          <t>Prompt engineering + guardrails</t>
        </is>
      </c>
      <c r="E38" t="inlineStr">
        <is>
          <t>RC-AI</t>
        </is>
      </c>
      <c r="F38" s="8" t="n">
        <v>0</v>
      </c>
      <c r="G38" s="8" t="n">
        <v>0</v>
      </c>
      <c r="H38" s="8" t="n">
        <v>4</v>
      </c>
      <c r="I38" s="8" t="n">
        <v>8</v>
      </c>
      <c r="J38" s="8" t="n">
        <v>8</v>
      </c>
      <c r="K38" s="8" t="n">
        <v>14</v>
      </c>
      <c r="L38" s="8" t="n">
        <v>14</v>
      </c>
      <c r="M38" s="8" t="n">
        <v>26</v>
      </c>
      <c r="N38" s="8" t="n">
        <v>14</v>
      </c>
      <c r="O38" s="8" t="n">
        <v>26</v>
      </c>
      <c r="R38" s="5">
        <f>F38*VLOOKUP($E38,Tarifas!$B$5:$F$9,2,0)</f>
        <v/>
      </c>
      <c r="S38" s="5">
        <f>G38*VLOOKUP($E38,Tarifas!$B$5:$F$9,3,0)</f>
        <v/>
      </c>
      <c r="T38" s="5">
        <f>H38*VLOOKUP($E38,Tarifas!$B$5:$F$9,2,0)</f>
        <v/>
      </c>
      <c r="U38" s="5">
        <f>I38*VLOOKUP($E38,Tarifas!$B$5:$F$9,3,0)</f>
        <v/>
      </c>
      <c r="V38" s="5">
        <f>J38*VLOOKUP($E38,Tarifas!$B$5:$F$9,2,0)</f>
        <v/>
      </c>
      <c r="W38" s="5">
        <f>K38*VLOOKUP($E38,Tarifas!$B$5:$F$9,3,0)</f>
        <v/>
      </c>
      <c r="X38" s="5">
        <f>L38*VLOOKUP($E38,Tarifas!$B$5:$F$9,2,0)</f>
        <v/>
      </c>
      <c r="Y38" s="5">
        <f>M38*VLOOKUP($E38,Tarifas!$B$5:$F$9,3,0)</f>
        <v/>
      </c>
      <c r="Z38" s="5">
        <f>N38*VLOOKUP($E38,Tarifas!$B$5:$F$9,2,0)</f>
        <v/>
      </c>
      <c r="AA38" s="5">
        <f>O38*VLOOKUP($E38,Tarifas!$B$5:$F$9,3,0)</f>
        <v/>
      </c>
    </row>
    <row r="39">
      <c r="A39" t="inlineStr">
        <is>
          <t>AI-01</t>
        </is>
      </c>
      <c r="B39" t="inlineStr">
        <is>
          <t>Asistente IA en sitio web (chat RAG)</t>
        </is>
      </c>
      <c r="C39" t="inlineStr">
        <is>
          <t>ia</t>
        </is>
      </c>
      <c r="D39" t="inlineStr">
        <is>
          <t>Widget UI + integracion</t>
        </is>
      </c>
      <c r="E39" t="inlineStr">
        <is>
          <t>RC-WEB</t>
        </is>
      </c>
      <c r="F39" s="8" t="n">
        <v>0</v>
      </c>
      <c r="G39" s="8" t="n">
        <v>0</v>
      </c>
      <c r="H39" s="8" t="n">
        <v>6</v>
      </c>
      <c r="I39" s="8" t="n">
        <v>12</v>
      </c>
      <c r="J39" s="8" t="n">
        <v>12</v>
      </c>
      <c r="K39" s="8" t="n">
        <v>24</v>
      </c>
      <c r="L39" s="8" t="n">
        <v>24</v>
      </c>
      <c r="M39" s="8" t="n">
        <v>44</v>
      </c>
      <c r="N39" s="8" t="n">
        <v>24</v>
      </c>
      <c r="O39" s="8" t="n">
        <v>44</v>
      </c>
      <c r="R39" s="5">
        <f>F39*VLOOKUP($E39,Tarifas!$B$5:$F$9,2,0)</f>
        <v/>
      </c>
      <c r="S39" s="5">
        <f>G39*VLOOKUP($E39,Tarifas!$B$5:$F$9,3,0)</f>
        <v/>
      </c>
      <c r="T39" s="5">
        <f>H39*VLOOKUP($E39,Tarifas!$B$5:$F$9,2,0)</f>
        <v/>
      </c>
      <c r="U39" s="5">
        <f>I39*VLOOKUP($E39,Tarifas!$B$5:$F$9,3,0)</f>
        <v/>
      </c>
      <c r="V39" s="5">
        <f>J39*VLOOKUP($E39,Tarifas!$B$5:$F$9,2,0)</f>
        <v/>
      </c>
      <c r="W39" s="5">
        <f>K39*VLOOKUP($E39,Tarifas!$B$5:$F$9,3,0)</f>
        <v/>
      </c>
      <c r="X39" s="5">
        <f>L39*VLOOKUP($E39,Tarifas!$B$5:$F$9,2,0)</f>
        <v/>
      </c>
      <c r="Y39" s="5">
        <f>M39*VLOOKUP($E39,Tarifas!$B$5:$F$9,3,0)</f>
        <v/>
      </c>
      <c r="Z39" s="5">
        <f>N39*VLOOKUP($E39,Tarifas!$B$5:$F$9,2,0)</f>
        <v/>
      </c>
      <c r="AA39" s="5">
        <f>O39*VLOOKUP($E39,Tarifas!$B$5:$F$9,3,0)</f>
        <v/>
      </c>
    </row>
    <row r="40">
      <c r="A40" t="inlineStr">
        <is>
          <t>AI-01</t>
        </is>
      </c>
      <c r="B40" t="inlineStr">
        <is>
          <t>Asistente IA en sitio web (chat RAG)</t>
        </is>
      </c>
      <c r="C40" t="inlineStr">
        <is>
          <t>ia</t>
        </is>
      </c>
      <c r="D40" t="inlineStr">
        <is>
          <t>Evaluacion + casos de prueba</t>
        </is>
      </c>
      <c r="E40" t="inlineStr">
        <is>
          <t>RC-AI</t>
        </is>
      </c>
      <c r="F40" s="8" t="n">
        <v>0</v>
      </c>
      <c r="G40" s="8" t="n">
        <v>0</v>
      </c>
      <c r="H40" s="8" t="n">
        <v>4</v>
      </c>
      <c r="I40" s="8" t="n">
        <v>7</v>
      </c>
      <c r="J40" s="8" t="n">
        <v>7</v>
      </c>
      <c r="K40" s="8" t="n">
        <v>12</v>
      </c>
      <c r="L40" s="8" t="n">
        <v>12</v>
      </c>
      <c r="M40" s="8" t="n">
        <v>22</v>
      </c>
      <c r="N40" s="8" t="n">
        <v>12</v>
      </c>
      <c r="O40" s="8" t="n">
        <v>22</v>
      </c>
      <c r="R40" s="5">
        <f>F40*VLOOKUP($E40,Tarifas!$B$5:$F$9,2,0)</f>
        <v/>
      </c>
      <c r="S40" s="5">
        <f>G40*VLOOKUP($E40,Tarifas!$B$5:$F$9,3,0)</f>
        <v/>
      </c>
      <c r="T40" s="5">
        <f>H40*VLOOKUP($E40,Tarifas!$B$5:$F$9,2,0)</f>
        <v/>
      </c>
      <c r="U40" s="5">
        <f>I40*VLOOKUP($E40,Tarifas!$B$5:$F$9,3,0)</f>
        <v/>
      </c>
      <c r="V40" s="5">
        <f>J40*VLOOKUP($E40,Tarifas!$B$5:$F$9,2,0)</f>
        <v/>
      </c>
      <c r="W40" s="5">
        <f>K40*VLOOKUP($E40,Tarifas!$B$5:$F$9,3,0)</f>
        <v/>
      </c>
      <c r="X40" s="5">
        <f>L40*VLOOKUP($E40,Tarifas!$B$5:$F$9,2,0)</f>
        <v/>
      </c>
      <c r="Y40" s="5">
        <f>M40*VLOOKUP($E40,Tarifas!$B$5:$F$9,3,0)</f>
        <v/>
      </c>
      <c r="Z40" s="5">
        <f>N40*VLOOKUP($E40,Tarifas!$B$5:$F$9,2,0)</f>
        <v/>
      </c>
      <c r="AA40" s="5">
        <f>O40*VLOOKUP($E40,Tarifas!$B$5:$F$9,3,0)</f>
        <v/>
      </c>
    </row>
    <row r="41">
      <c r="A41" t="inlineStr">
        <is>
          <t>CON-01</t>
        </is>
      </c>
      <c r="B41" t="inlineStr">
        <is>
          <t>Consultoria tecnica 3D / web</t>
        </is>
      </c>
      <c r="C41" t="inlineStr">
        <is>
          <t>soporte</t>
        </is>
      </c>
      <c r="D41" t="inlineStr">
        <is>
          <t>Intake/analisis/SOW</t>
        </is>
      </c>
      <c r="E41" t="inlineStr">
        <is>
          <t>RC-CON</t>
        </is>
      </c>
      <c r="F41" s="8" t="n">
        <v>2</v>
      </c>
      <c r="G41" s="8" t="n">
        <v>4.5</v>
      </c>
      <c r="H41" s="8" t="n">
        <v>2.5</v>
      </c>
      <c r="I41" s="8" t="n">
        <v>6</v>
      </c>
      <c r="J41" s="8" t="n">
        <v>6</v>
      </c>
      <c r="K41" s="8" t="n">
        <v>12</v>
      </c>
      <c r="L41" s="8" t="n">
        <v>12</v>
      </c>
      <c r="M41" s="8" t="n">
        <v>24</v>
      </c>
      <c r="N41" s="8" t="n">
        <v>12</v>
      </c>
      <c r="O41" s="8" t="n">
        <v>24</v>
      </c>
      <c r="R41" s="5">
        <f>F41*VLOOKUP($E41,Tarifas!$B$5:$F$9,2,0)</f>
        <v/>
      </c>
      <c r="S41" s="5">
        <f>G41*VLOOKUP($E41,Tarifas!$B$5:$F$9,3,0)</f>
        <v/>
      </c>
      <c r="T41" s="5">
        <f>H41*VLOOKUP($E41,Tarifas!$B$5:$F$9,2,0)</f>
        <v/>
      </c>
      <c r="U41" s="5">
        <f>I41*VLOOKUP($E41,Tarifas!$B$5:$F$9,3,0)</f>
        <v/>
      </c>
      <c r="V41" s="5">
        <f>J41*VLOOKUP($E41,Tarifas!$B$5:$F$9,2,0)</f>
        <v/>
      </c>
      <c r="W41" s="5">
        <f>K41*VLOOKUP($E41,Tarifas!$B$5:$F$9,3,0)</f>
        <v/>
      </c>
      <c r="X41" s="5">
        <f>L41*VLOOKUP($E41,Tarifas!$B$5:$F$9,2,0)</f>
        <v/>
      </c>
      <c r="Y41" s="5">
        <f>M41*VLOOKUP($E41,Tarifas!$B$5:$F$9,3,0)</f>
        <v/>
      </c>
      <c r="Z41" s="5">
        <f>N41*VLOOKUP($E41,Tarifas!$B$5:$F$9,2,0)</f>
        <v/>
      </c>
      <c r="AA41" s="5">
        <f>O41*VLOOKUP($E41,Tarifas!$B$5:$F$9,3,0)</f>
        <v/>
      </c>
    </row>
    <row r="42">
      <c r="A42" t="inlineStr">
        <is>
          <t>CON-01</t>
        </is>
      </c>
      <c r="B42" t="inlineStr">
        <is>
          <t>Consultoria tecnica 3D / web</t>
        </is>
      </c>
      <c r="C42" t="inlineStr">
        <is>
          <t>soporte</t>
        </is>
      </c>
      <c r="D42" t="inlineStr">
        <is>
          <t>Presentacion y revision</t>
        </is>
      </c>
      <c r="E42" t="inlineStr">
        <is>
          <t>RC-CON</t>
        </is>
      </c>
      <c r="F42" s="8" t="n">
        <v>0.5</v>
      </c>
      <c r="G42" s="8" t="n">
        <v>1.5</v>
      </c>
      <c r="H42" s="8" t="n">
        <v>1</v>
      </c>
      <c r="I42" s="8" t="n">
        <v>2</v>
      </c>
      <c r="J42" s="8" t="n">
        <v>2</v>
      </c>
      <c r="K42" s="8" t="n">
        <v>4</v>
      </c>
      <c r="L42" s="8" t="n">
        <v>4</v>
      </c>
      <c r="M42" s="8" t="n">
        <v>8</v>
      </c>
      <c r="N42" s="8" t="n">
        <v>4</v>
      </c>
      <c r="O42" s="8" t="n">
        <v>8</v>
      </c>
      <c r="R42" s="5">
        <f>F42*VLOOKUP($E42,Tarifas!$B$5:$F$9,2,0)</f>
        <v/>
      </c>
      <c r="S42" s="5">
        <f>G42*VLOOKUP($E42,Tarifas!$B$5:$F$9,3,0)</f>
        <v/>
      </c>
      <c r="T42" s="5">
        <f>H42*VLOOKUP($E42,Tarifas!$B$5:$F$9,2,0)</f>
        <v/>
      </c>
      <c r="U42" s="5">
        <f>I42*VLOOKUP($E42,Tarifas!$B$5:$F$9,3,0)</f>
        <v/>
      </c>
      <c r="V42" s="5">
        <f>J42*VLOOKUP($E42,Tarifas!$B$5:$F$9,2,0)</f>
        <v/>
      </c>
      <c r="W42" s="5">
        <f>K42*VLOOKUP($E42,Tarifas!$B$5:$F$9,3,0)</f>
        <v/>
      </c>
      <c r="X42" s="5">
        <f>L42*VLOOKUP($E42,Tarifas!$B$5:$F$9,2,0)</f>
        <v/>
      </c>
      <c r="Y42" s="5">
        <f>M42*VLOOKUP($E42,Tarifas!$B$5:$F$9,3,0)</f>
        <v/>
      </c>
      <c r="Z42" s="5">
        <f>N42*VLOOKUP($E42,Tarifas!$B$5:$F$9,2,0)</f>
        <v/>
      </c>
      <c r="AA42" s="5">
        <f>O42*VLOOKUP($E42,Tarifas!$B$5:$F$9,3,0)</f>
        <v/>
      </c>
    </row>
    <row r="43">
      <c r="A43" t="inlineStr">
        <is>
          <t>RET-01</t>
        </is>
      </c>
      <c r="B43" t="inlineStr">
        <is>
          <t>Retainer mensual</t>
        </is>
      </c>
      <c r="C43" t="inlineStr">
        <is>
          <t>soporte</t>
        </is>
      </c>
      <c r="D43" t="inlineStr">
        <is>
          <t>Lite: 4h/mes</t>
        </is>
      </c>
      <c r="E43" t="inlineStr">
        <is>
          <t>RC-RTA</t>
        </is>
      </c>
      <c r="F43" s="8" t="n">
        <v>4</v>
      </c>
      <c r="G43" s="8" t="n">
        <v>4</v>
      </c>
      <c r="H43" s="8" t="n">
        <v>4</v>
      </c>
      <c r="I43" s="8" t="n">
        <v>4</v>
      </c>
      <c r="J43" s="8" t="n">
        <v>4</v>
      </c>
      <c r="K43" s="8" t="n">
        <v>4</v>
      </c>
      <c r="L43" s="8" t="n">
        <v>4</v>
      </c>
      <c r="M43" s="8" t="n">
        <v>4</v>
      </c>
      <c r="N43" s="8" t="n">
        <v>4</v>
      </c>
      <c r="O43" s="8" t="n">
        <v>4</v>
      </c>
      <c r="R43" s="5">
        <f>F43*VLOOKUP($E43,Tarifas!$B$5:$F$9,2,0)</f>
        <v/>
      </c>
      <c r="S43" s="5">
        <f>G43*VLOOKUP($E43,Tarifas!$B$5:$F$9,3,0)</f>
        <v/>
      </c>
      <c r="T43" s="5">
        <f>H43*VLOOKUP($E43,Tarifas!$B$5:$F$9,2,0)</f>
        <v/>
      </c>
      <c r="U43" s="5">
        <f>I43*VLOOKUP($E43,Tarifas!$B$5:$F$9,3,0)</f>
        <v/>
      </c>
      <c r="V43" s="5">
        <f>J43*VLOOKUP($E43,Tarifas!$B$5:$F$9,2,0)</f>
        <v/>
      </c>
      <c r="W43" s="5">
        <f>K43*VLOOKUP($E43,Tarifas!$B$5:$F$9,3,0)</f>
        <v/>
      </c>
      <c r="X43" s="5">
        <f>L43*VLOOKUP($E43,Tarifas!$B$5:$F$9,2,0)</f>
        <v/>
      </c>
      <c r="Y43" s="5">
        <f>M43*VLOOKUP($E43,Tarifas!$B$5:$F$9,3,0)</f>
        <v/>
      </c>
      <c r="Z43" s="5">
        <f>N43*VLOOKUP($E43,Tarifas!$B$5:$F$9,2,0)</f>
        <v/>
      </c>
      <c r="AA43" s="5">
        <f>O43*VLOOKUP($E43,Tarifas!$B$5:$F$9,3,0)</f>
        <v/>
      </c>
    </row>
    <row r="44">
      <c r="A44" t="inlineStr">
        <is>
          <t>RET-01</t>
        </is>
      </c>
      <c r="B44" t="inlineStr">
        <is>
          <t>Retainer mensual</t>
        </is>
      </c>
      <c r="C44" t="inlineStr">
        <is>
          <t>soporte</t>
        </is>
      </c>
      <c r="D44" t="inlineStr">
        <is>
          <t>Standard: 8h/mes</t>
        </is>
      </c>
      <c r="E44" t="inlineStr">
        <is>
          <t>RC-RTA</t>
        </is>
      </c>
      <c r="F44" s="8" t="n">
        <v>8</v>
      </c>
      <c r="G44" s="8" t="n">
        <v>8</v>
      </c>
      <c r="H44" s="8" t="n">
        <v>8</v>
      </c>
      <c r="I44" s="8" t="n">
        <v>8</v>
      </c>
      <c r="J44" s="8" t="n">
        <v>8</v>
      </c>
      <c r="K44" s="8" t="n">
        <v>8</v>
      </c>
      <c r="L44" s="8" t="n">
        <v>8</v>
      </c>
      <c r="M44" s="8" t="n">
        <v>8</v>
      </c>
      <c r="N44" s="8" t="n">
        <v>8</v>
      </c>
      <c r="O44" s="8" t="n">
        <v>8</v>
      </c>
      <c r="R44" s="5">
        <f>F44*VLOOKUP($E44,Tarifas!$B$5:$F$9,2,0)</f>
        <v/>
      </c>
      <c r="S44" s="5">
        <f>G44*VLOOKUP($E44,Tarifas!$B$5:$F$9,3,0)</f>
        <v/>
      </c>
      <c r="T44" s="5">
        <f>H44*VLOOKUP($E44,Tarifas!$B$5:$F$9,2,0)</f>
        <v/>
      </c>
      <c r="U44" s="5">
        <f>I44*VLOOKUP($E44,Tarifas!$B$5:$F$9,3,0)</f>
        <v/>
      </c>
      <c r="V44" s="5">
        <f>J44*VLOOKUP($E44,Tarifas!$B$5:$F$9,2,0)</f>
        <v/>
      </c>
      <c r="W44" s="5">
        <f>K44*VLOOKUP($E44,Tarifas!$B$5:$F$9,3,0)</f>
        <v/>
      </c>
      <c r="X44" s="5">
        <f>L44*VLOOKUP($E44,Tarifas!$B$5:$F$9,2,0)</f>
        <v/>
      </c>
      <c r="Y44" s="5">
        <f>M44*VLOOKUP($E44,Tarifas!$B$5:$F$9,3,0)</f>
        <v/>
      </c>
      <c r="Z44" s="5">
        <f>N44*VLOOKUP($E44,Tarifas!$B$5:$F$9,2,0)</f>
        <v/>
      </c>
      <c r="AA44" s="5">
        <f>O44*VLOOKUP($E44,Tarifas!$B$5:$F$9,3,0)</f>
        <v/>
      </c>
    </row>
    <row r="45">
      <c r="A45" t="inlineStr">
        <is>
          <t>RET-01</t>
        </is>
      </c>
      <c r="B45" t="inlineStr">
        <is>
          <t>Retainer mensual</t>
        </is>
      </c>
      <c r="C45" t="inlineStr">
        <is>
          <t>soporte</t>
        </is>
      </c>
      <c r="D45" t="inlineStr">
        <is>
          <t>Pro: 16h/mes</t>
        </is>
      </c>
      <c r="E45" t="inlineStr">
        <is>
          <t>RC-RTA</t>
        </is>
      </c>
      <c r="F45" s="8" t="n">
        <v>16</v>
      </c>
      <c r="G45" s="8" t="n">
        <v>16</v>
      </c>
      <c r="H45" s="8" t="n">
        <v>16</v>
      </c>
      <c r="I45" s="8" t="n">
        <v>16</v>
      </c>
      <c r="J45" s="8" t="n">
        <v>16</v>
      </c>
      <c r="K45" s="8" t="n">
        <v>16</v>
      </c>
      <c r="L45" s="8" t="n">
        <v>16</v>
      </c>
      <c r="M45" s="8" t="n">
        <v>16</v>
      </c>
      <c r="N45" s="8" t="n">
        <v>16</v>
      </c>
      <c r="O45" s="8" t="n">
        <v>16</v>
      </c>
      <c r="R45" s="5">
        <f>F45*VLOOKUP($E45,Tarifas!$B$5:$F$9,2,0)</f>
        <v/>
      </c>
      <c r="S45" s="5">
        <f>G45*VLOOKUP($E45,Tarifas!$B$5:$F$9,3,0)</f>
        <v/>
      </c>
      <c r="T45" s="5">
        <f>H45*VLOOKUP($E45,Tarifas!$B$5:$F$9,2,0)</f>
        <v/>
      </c>
      <c r="U45" s="5">
        <f>I45*VLOOKUP($E45,Tarifas!$B$5:$F$9,3,0)</f>
        <v/>
      </c>
      <c r="V45" s="5">
        <f>J45*VLOOKUP($E45,Tarifas!$B$5:$F$9,2,0)</f>
        <v/>
      </c>
      <c r="W45" s="5">
        <f>K45*VLOOKUP($E45,Tarifas!$B$5:$F$9,3,0)</f>
        <v/>
      </c>
      <c r="X45" s="5">
        <f>L45*VLOOKUP($E45,Tarifas!$B$5:$F$9,2,0)</f>
        <v/>
      </c>
      <c r="Y45" s="5">
        <f>M45*VLOOKUP($E45,Tarifas!$B$5:$F$9,3,0)</f>
        <v/>
      </c>
      <c r="Z45" s="5">
        <f>N45*VLOOKUP($E45,Tarifas!$B$5:$F$9,2,0)</f>
        <v/>
      </c>
      <c r="AA45" s="5">
        <f>O45*VLOOKUP($E45,Tarifas!$B$5:$F$9,3,0)</f>
        <v/>
      </c>
    </row>
    <row r="46">
      <c r="A46" t="inlineStr">
        <is>
          <t>RET-01</t>
        </is>
      </c>
      <c r="B46" t="inlineStr">
        <is>
          <t>Retainer mensual</t>
        </is>
      </c>
      <c r="C46" t="inlineStr">
        <is>
          <t>soporte</t>
        </is>
      </c>
      <c r="D46" t="inlineStr">
        <is>
          <t>Business: 40h/mes</t>
        </is>
      </c>
      <c r="E46" t="inlineStr">
        <is>
          <t>RC-CON</t>
        </is>
      </c>
      <c r="F46" s="8" t="n">
        <v>40</v>
      </c>
      <c r="G46" s="8" t="n">
        <v>40</v>
      </c>
      <c r="H46" s="8" t="n">
        <v>40</v>
      </c>
      <c r="I46" s="8" t="n">
        <v>40</v>
      </c>
      <c r="J46" s="8" t="n">
        <v>40</v>
      </c>
      <c r="K46" s="8" t="n">
        <v>40</v>
      </c>
      <c r="L46" s="8" t="n">
        <v>40</v>
      </c>
      <c r="M46" s="8" t="n">
        <v>40</v>
      </c>
      <c r="N46" s="8" t="n">
        <v>40</v>
      </c>
      <c r="O46" s="8" t="n">
        <v>40</v>
      </c>
      <c r="R46" s="5">
        <f>F46*VLOOKUP($E46,Tarifas!$B$5:$F$9,2,0)</f>
        <v/>
      </c>
      <c r="S46" s="5">
        <f>G46*VLOOKUP($E46,Tarifas!$B$5:$F$9,3,0)</f>
        <v/>
      </c>
      <c r="T46" s="5">
        <f>H46*VLOOKUP($E46,Tarifas!$B$5:$F$9,2,0)</f>
        <v/>
      </c>
      <c r="U46" s="5">
        <f>I46*VLOOKUP($E46,Tarifas!$B$5:$F$9,3,0)</f>
        <v/>
      </c>
      <c r="V46" s="5">
        <f>J46*VLOOKUP($E46,Tarifas!$B$5:$F$9,2,0)</f>
        <v/>
      </c>
      <c r="W46" s="5">
        <f>K46*VLOOKUP($E46,Tarifas!$B$5:$F$9,3,0)</f>
        <v/>
      </c>
      <c r="X46" s="5">
        <f>L46*VLOOKUP($E46,Tarifas!$B$5:$F$9,2,0)</f>
        <v/>
      </c>
      <c r="Y46" s="5">
        <f>M46*VLOOKUP($E46,Tarifas!$B$5:$F$9,3,0)</f>
        <v/>
      </c>
      <c r="Z46" s="5">
        <f>N46*VLOOKUP($E46,Tarifas!$B$5:$F$9,2,0)</f>
        <v/>
      </c>
      <c r="AA46" s="5">
        <f>O46*VLOOKUP($E46,Tarifas!$B$5:$F$9,3,0)</f>
        <v/>
      </c>
    </row>
    <row r="47">
      <c r="A47" t="inlineStr">
        <is>
          <t>RTA-03</t>
        </is>
      </c>
      <c r="B47" t="inlineStr">
        <is>
          <t>Modelo animado no interactuable</t>
        </is>
      </c>
      <c r="C47" t="inlineStr">
        <is>
          <t>asset-rt</t>
        </is>
      </c>
      <c r="D47" t="inlineStr">
        <is>
          <t>Pipeline base RTA-01</t>
        </is>
      </c>
      <c r="E47" t="inlineStr">
        <is>
          <t>RC-RTA</t>
        </is>
      </c>
      <c r="F47" s="8" t="n">
        <v>0</v>
      </c>
      <c r="G47" s="8" t="n">
        <v>0</v>
      </c>
      <c r="H47" s="8" t="n">
        <v>6</v>
      </c>
      <c r="I47" s="8" t="n">
        <v>13</v>
      </c>
      <c r="J47" s="8" t="n">
        <v>14</v>
      </c>
      <c r="K47" s="8" t="n">
        <v>30</v>
      </c>
      <c r="L47" s="8" t="n">
        <v>30</v>
      </c>
      <c r="M47" s="8" t="n">
        <v>66</v>
      </c>
      <c r="N47" s="8" t="n">
        <v>45</v>
      </c>
      <c r="O47" s="8" t="n">
        <v>99</v>
      </c>
      <c r="R47" s="5">
        <f>F47*VLOOKUP($E47,Tarifas!$B$5:$F$9,2,0)</f>
        <v/>
      </c>
      <c r="S47" s="5">
        <f>G47*VLOOKUP($E47,Tarifas!$B$5:$F$9,3,0)</f>
        <v/>
      </c>
      <c r="T47" s="5">
        <f>H47*VLOOKUP($E47,Tarifas!$B$5:$F$9,2,0)</f>
        <v/>
      </c>
      <c r="U47" s="5">
        <f>I47*VLOOKUP($E47,Tarifas!$B$5:$F$9,3,0)</f>
        <v/>
      </c>
      <c r="V47" s="5">
        <f>J47*VLOOKUP($E47,Tarifas!$B$5:$F$9,2,0)</f>
        <v/>
      </c>
      <c r="W47" s="5">
        <f>K47*VLOOKUP($E47,Tarifas!$B$5:$F$9,3,0)</f>
        <v/>
      </c>
      <c r="X47" s="5">
        <f>L47*VLOOKUP($E47,Tarifas!$B$5:$F$9,2,0)</f>
        <v/>
      </c>
      <c r="Y47" s="5">
        <f>M47*VLOOKUP($E47,Tarifas!$B$5:$F$9,3,0)</f>
        <v/>
      </c>
      <c r="Z47" s="5">
        <f>N47*VLOOKUP($E47,Tarifas!$B$5:$F$9,2,0)</f>
        <v/>
      </c>
      <c r="AA47" s="5">
        <f>O47*VLOOKUP($E47,Tarifas!$B$5:$F$9,3,0)</f>
        <v/>
      </c>
    </row>
    <row r="48">
      <c r="A48" t="inlineStr">
        <is>
          <t>RTA-03</t>
        </is>
      </c>
      <c r="B48" t="inlineStr">
        <is>
          <t>Modelo animado no interactuable</t>
        </is>
      </c>
      <c r="C48" t="inlineStr">
        <is>
          <t>asset-rt</t>
        </is>
      </c>
      <c r="D48" t="inlineStr">
        <is>
          <t>Setup animacion mecanica (pivots/jerarquia)</t>
        </is>
      </c>
      <c r="E48" t="inlineStr">
        <is>
          <t>RC-RTA</t>
        </is>
      </c>
      <c r="F48" s="8" t="n">
        <v>0</v>
      </c>
      <c r="G48" s="8" t="n">
        <v>0</v>
      </c>
      <c r="H48" s="8" t="n">
        <v>1</v>
      </c>
      <c r="I48" s="8" t="n">
        <v>3</v>
      </c>
      <c r="J48" s="8" t="n">
        <v>2</v>
      </c>
      <c r="K48" s="8" t="n">
        <v>5</v>
      </c>
      <c r="L48" s="8" t="n">
        <v>3</v>
      </c>
      <c r="M48" s="8" t="n">
        <v>7</v>
      </c>
      <c r="N48" s="8" t="n">
        <v>4</v>
      </c>
      <c r="O48" s="8" t="n">
        <v>9</v>
      </c>
      <c r="R48" s="5">
        <f>F48*VLOOKUP($E48,Tarifas!$B$5:$F$9,2,0)</f>
        <v/>
      </c>
      <c r="S48" s="5">
        <f>G48*VLOOKUP($E48,Tarifas!$B$5:$F$9,3,0)</f>
        <v/>
      </c>
      <c r="T48" s="5">
        <f>H48*VLOOKUP($E48,Tarifas!$B$5:$F$9,2,0)</f>
        <v/>
      </c>
      <c r="U48" s="5">
        <f>I48*VLOOKUP($E48,Tarifas!$B$5:$F$9,3,0)</f>
        <v/>
      </c>
      <c r="V48" s="5">
        <f>J48*VLOOKUP($E48,Tarifas!$B$5:$F$9,2,0)</f>
        <v/>
      </c>
      <c r="W48" s="5">
        <f>K48*VLOOKUP($E48,Tarifas!$B$5:$F$9,3,0)</f>
        <v/>
      </c>
      <c r="X48" s="5">
        <f>L48*VLOOKUP($E48,Tarifas!$B$5:$F$9,2,0)</f>
        <v/>
      </c>
      <c r="Y48" s="5">
        <f>M48*VLOOKUP($E48,Tarifas!$B$5:$F$9,3,0)</f>
        <v/>
      </c>
      <c r="Z48" s="5">
        <f>N48*VLOOKUP($E48,Tarifas!$B$5:$F$9,2,0)</f>
        <v/>
      </c>
      <c r="AA48" s="5">
        <f>O48*VLOOKUP($E48,Tarifas!$B$5:$F$9,3,0)</f>
        <v/>
      </c>
    </row>
    <row r="49">
      <c r="A49" t="inlineStr">
        <is>
          <t>RTA-03</t>
        </is>
      </c>
      <c r="B49" t="inlineStr">
        <is>
          <t>Modelo animado no interactuable</t>
        </is>
      </c>
      <c r="C49" t="inlineStr">
        <is>
          <t>asset-rt</t>
        </is>
      </c>
      <c r="D49" t="inlineStr">
        <is>
          <t>Clips de animacion (loop -&gt; secuencias)</t>
        </is>
      </c>
      <c r="E49" t="inlineStr">
        <is>
          <t>RC-RTA</t>
        </is>
      </c>
      <c r="F49" s="8" t="n">
        <v>0</v>
      </c>
      <c r="G49" s="8" t="n">
        <v>0</v>
      </c>
      <c r="H49" s="8" t="n">
        <v>1</v>
      </c>
      <c r="I49" s="8" t="n">
        <v>5</v>
      </c>
      <c r="J49" s="8" t="n">
        <v>2</v>
      </c>
      <c r="K49" s="8" t="n">
        <v>7</v>
      </c>
      <c r="L49" s="8" t="n">
        <v>5</v>
      </c>
      <c r="M49" s="8" t="n">
        <v>13</v>
      </c>
      <c r="N49" s="8" t="n">
        <v>6</v>
      </c>
      <c r="O49" s="8" t="n">
        <v>16</v>
      </c>
      <c r="R49" s="5">
        <f>F49*VLOOKUP($E49,Tarifas!$B$5:$F$9,2,0)</f>
        <v/>
      </c>
      <c r="S49" s="5">
        <f>G49*VLOOKUP($E49,Tarifas!$B$5:$F$9,3,0)</f>
        <v/>
      </c>
      <c r="T49" s="5">
        <f>H49*VLOOKUP($E49,Tarifas!$B$5:$F$9,2,0)</f>
        <v/>
      </c>
      <c r="U49" s="5">
        <f>I49*VLOOKUP($E49,Tarifas!$B$5:$F$9,3,0)</f>
        <v/>
      </c>
      <c r="V49" s="5">
        <f>J49*VLOOKUP($E49,Tarifas!$B$5:$F$9,2,0)</f>
        <v/>
      </c>
      <c r="W49" s="5">
        <f>K49*VLOOKUP($E49,Tarifas!$B$5:$F$9,3,0)</f>
        <v/>
      </c>
      <c r="X49" s="5">
        <f>L49*VLOOKUP($E49,Tarifas!$B$5:$F$9,2,0)</f>
        <v/>
      </c>
      <c r="Y49" s="5">
        <f>M49*VLOOKUP($E49,Tarifas!$B$5:$F$9,3,0)</f>
        <v/>
      </c>
      <c r="Z49" s="5">
        <f>N49*VLOOKUP($E49,Tarifas!$B$5:$F$9,2,0)</f>
        <v/>
      </c>
      <c r="AA49" s="5">
        <f>O49*VLOOKUP($E49,Tarifas!$B$5:$F$9,3,0)</f>
        <v/>
      </c>
    </row>
    <row r="50">
      <c r="A50" t="inlineStr">
        <is>
          <t>RTA-03</t>
        </is>
      </c>
      <c r="B50" t="inlineStr">
        <is>
          <t>Modelo animado no interactuable</t>
        </is>
      </c>
      <c r="C50" t="inlineStr">
        <is>
          <t>asset-rt</t>
        </is>
      </c>
      <c r="D50" t="inlineStr">
        <is>
          <t>Timeline autoplay + optimizacion clips</t>
        </is>
      </c>
      <c r="E50" t="inlineStr">
        <is>
          <t>RC-RTA</t>
        </is>
      </c>
      <c r="F50" s="8" t="n">
        <v>0</v>
      </c>
      <c r="G50" s="8" t="n">
        <v>0</v>
      </c>
      <c r="H50" s="8" t="n">
        <v>1</v>
      </c>
      <c r="I50" s="8" t="n">
        <v>2</v>
      </c>
      <c r="J50" s="8" t="n">
        <v>1</v>
      </c>
      <c r="K50" s="8" t="n">
        <v>2</v>
      </c>
      <c r="L50" s="8" t="n">
        <v>1</v>
      </c>
      <c r="M50" s="8" t="n">
        <v>2</v>
      </c>
      <c r="N50" s="8" t="n">
        <v>1</v>
      </c>
      <c r="O50" s="8" t="n">
        <v>2</v>
      </c>
      <c r="R50" s="5">
        <f>F50*VLOOKUP($E50,Tarifas!$B$5:$F$9,2,0)</f>
        <v/>
      </c>
      <c r="S50" s="5">
        <f>G50*VLOOKUP($E50,Tarifas!$B$5:$F$9,3,0)</f>
        <v/>
      </c>
      <c r="T50" s="5">
        <f>H50*VLOOKUP($E50,Tarifas!$B$5:$F$9,2,0)</f>
        <v/>
      </c>
      <c r="U50" s="5">
        <f>I50*VLOOKUP($E50,Tarifas!$B$5:$F$9,3,0)</f>
        <v/>
      </c>
      <c r="V50" s="5">
        <f>J50*VLOOKUP($E50,Tarifas!$B$5:$F$9,2,0)</f>
        <v/>
      </c>
      <c r="W50" s="5">
        <f>K50*VLOOKUP($E50,Tarifas!$B$5:$F$9,3,0)</f>
        <v/>
      </c>
      <c r="X50" s="5">
        <f>L50*VLOOKUP($E50,Tarifas!$B$5:$F$9,2,0)</f>
        <v/>
      </c>
      <c r="Y50" s="5">
        <f>M50*VLOOKUP($E50,Tarifas!$B$5:$F$9,3,0)</f>
        <v/>
      </c>
      <c r="Z50" s="5">
        <f>N50*VLOOKUP($E50,Tarifas!$B$5:$F$9,2,0)</f>
        <v/>
      </c>
      <c r="AA50" s="5">
        <f>O50*VLOOKUP($E50,Tarifas!$B$5:$F$9,3,0)</f>
        <v/>
      </c>
    </row>
    <row r="51">
      <c r="A51" t="inlineStr">
        <is>
          <t>RTA-04</t>
        </is>
      </c>
      <c r="B51" t="inlineStr">
        <is>
          <t>Modelo animado interactuable</t>
        </is>
      </c>
      <c r="C51" t="inlineStr">
        <is>
          <t>asset-rt</t>
        </is>
      </c>
      <c r="D51" t="inlineStr">
        <is>
          <t>Pipeline base RTA-03</t>
        </is>
      </c>
      <c r="E51" t="inlineStr">
        <is>
          <t>RC-RTA</t>
        </is>
      </c>
      <c r="F51" s="8" t="n">
        <v>0</v>
      </c>
      <c r="G51" s="8" t="n">
        <v>0</v>
      </c>
      <c r="H51" s="8" t="n">
        <v>8</v>
      </c>
      <c r="I51" s="8" t="n">
        <v>23</v>
      </c>
      <c r="J51" s="8" t="n">
        <v>17</v>
      </c>
      <c r="K51" s="8" t="n">
        <v>44</v>
      </c>
      <c r="L51" s="8" t="n">
        <v>39</v>
      </c>
      <c r="M51" s="8" t="n">
        <v>88</v>
      </c>
      <c r="N51" s="8" t="n">
        <v>55</v>
      </c>
      <c r="O51" s="8" t="n">
        <v>123</v>
      </c>
      <c r="R51" s="5">
        <f>F51*VLOOKUP($E51,Tarifas!$B$5:$F$9,2,0)</f>
        <v/>
      </c>
      <c r="S51" s="5">
        <f>G51*VLOOKUP($E51,Tarifas!$B$5:$F$9,3,0)</f>
        <v/>
      </c>
      <c r="T51" s="5">
        <f>H51*VLOOKUP($E51,Tarifas!$B$5:$F$9,2,0)</f>
        <v/>
      </c>
      <c r="U51" s="5">
        <f>I51*VLOOKUP($E51,Tarifas!$B$5:$F$9,3,0)</f>
        <v/>
      </c>
      <c r="V51" s="5">
        <f>J51*VLOOKUP($E51,Tarifas!$B$5:$F$9,2,0)</f>
        <v/>
      </c>
      <c r="W51" s="5">
        <f>K51*VLOOKUP($E51,Tarifas!$B$5:$F$9,3,0)</f>
        <v/>
      </c>
      <c r="X51" s="5">
        <f>L51*VLOOKUP($E51,Tarifas!$B$5:$F$9,2,0)</f>
        <v/>
      </c>
      <c r="Y51" s="5">
        <f>M51*VLOOKUP($E51,Tarifas!$B$5:$F$9,3,0)</f>
        <v/>
      </c>
      <c r="Z51" s="5">
        <f>N51*VLOOKUP($E51,Tarifas!$B$5:$F$9,2,0)</f>
        <v/>
      </c>
      <c r="AA51" s="5">
        <f>O51*VLOOKUP($E51,Tarifas!$B$5:$F$9,3,0)</f>
        <v/>
      </c>
    </row>
    <row r="52">
      <c r="A52" t="inlineStr">
        <is>
          <t>RTA-04</t>
        </is>
      </c>
      <c r="B52" t="inlineStr">
        <is>
          <t>Modelo animado interactuable</t>
        </is>
      </c>
      <c r="C52" t="inlineStr">
        <is>
          <t>asset-rt</t>
        </is>
      </c>
      <c r="D52" t="inlineStr">
        <is>
          <t>UI de controles (play/pausa/velocidad)</t>
        </is>
      </c>
      <c r="E52" t="inlineStr">
        <is>
          <t>RC-WEB</t>
        </is>
      </c>
      <c r="F52" s="8" t="n">
        <v>0</v>
      </c>
      <c r="G52" s="8" t="n">
        <v>0</v>
      </c>
      <c r="H52" s="8" t="n">
        <v>2</v>
      </c>
      <c r="I52" s="8" t="n">
        <v>4</v>
      </c>
      <c r="J52" s="8" t="n">
        <v>2</v>
      </c>
      <c r="K52" s="8" t="n">
        <v>5</v>
      </c>
      <c r="L52" s="8" t="n">
        <v>3</v>
      </c>
      <c r="M52" s="8" t="n">
        <v>6</v>
      </c>
      <c r="N52" s="8" t="n">
        <v>4</v>
      </c>
      <c r="O52" s="8" t="n">
        <v>8</v>
      </c>
      <c r="R52" s="5">
        <f>F52*VLOOKUP($E52,Tarifas!$B$5:$F$9,2,0)</f>
        <v/>
      </c>
      <c r="S52" s="5">
        <f>G52*VLOOKUP($E52,Tarifas!$B$5:$F$9,3,0)</f>
        <v/>
      </c>
      <c r="T52" s="5">
        <f>H52*VLOOKUP($E52,Tarifas!$B$5:$F$9,2,0)</f>
        <v/>
      </c>
      <c r="U52" s="5">
        <f>I52*VLOOKUP($E52,Tarifas!$B$5:$F$9,3,0)</f>
        <v/>
      </c>
      <c r="V52" s="5">
        <f>J52*VLOOKUP($E52,Tarifas!$B$5:$F$9,2,0)</f>
        <v/>
      </c>
      <c r="W52" s="5">
        <f>K52*VLOOKUP($E52,Tarifas!$B$5:$F$9,3,0)</f>
        <v/>
      </c>
      <c r="X52" s="5">
        <f>L52*VLOOKUP($E52,Tarifas!$B$5:$F$9,2,0)</f>
        <v/>
      </c>
      <c r="Y52" s="5">
        <f>M52*VLOOKUP($E52,Tarifas!$B$5:$F$9,3,0)</f>
        <v/>
      </c>
      <c r="Z52" s="5">
        <f>N52*VLOOKUP($E52,Tarifas!$B$5:$F$9,2,0)</f>
        <v/>
      </c>
      <c r="AA52" s="5">
        <f>O52*VLOOKUP($E52,Tarifas!$B$5:$F$9,3,0)</f>
        <v/>
      </c>
    </row>
    <row r="53">
      <c r="A53" t="inlineStr">
        <is>
          <t>RTA-04</t>
        </is>
      </c>
      <c r="B53" t="inlineStr">
        <is>
          <t>Modelo animado interactuable</t>
        </is>
      </c>
      <c r="C53" t="inlineStr">
        <is>
          <t>asset-rt</t>
        </is>
      </c>
      <c r="D53" t="inlineStr">
        <is>
          <t>Estado + triggers por interaccion</t>
        </is>
      </c>
      <c r="E53" t="inlineStr">
        <is>
          <t>RC-WEB</t>
        </is>
      </c>
      <c r="F53" s="8" t="n">
        <v>0</v>
      </c>
      <c r="G53" s="8" t="n">
        <v>0</v>
      </c>
      <c r="H53" s="8" t="n">
        <v>3</v>
      </c>
      <c r="I53" s="8" t="n">
        <v>6</v>
      </c>
      <c r="J53" s="8" t="n">
        <v>4</v>
      </c>
      <c r="K53" s="8" t="n">
        <v>10</v>
      </c>
      <c r="L53" s="8" t="n">
        <v>6</v>
      </c>
      <c r="M53" s="8" t="n">
        <v>20</v>
      </c>
      <c r="N53" s="8" t="n">
        <v>8</v>
      </c>
      <c r="O53" s="8" t="n">
        <v>25</v>
      </c>
      <c r="R53" s="5">
        <f>F53*VLOOKUP($E53,Tarifas!$B$5:$F$9,2,0)</f>
        <v/>
      </c>
      <c r="S53" s="5">
        <f>G53*VLOOKUP($E53,Tarifas!$B$5:$F$9,3,0)</f>
        <v/>
      </c>
      <c r="T53" s="5">
        <f>H53*VLOOKUP($E53,Tarifas!$B$5:$F$9,2,0)</f>
        <v/>
      </c>
      <c r="U53" s="5">
        <f>I53*VLOOKUP($E53,Tarifas!$B$5:$F$9,3,0)</f>
        <v/>
      </c>
      <c r="V53" s="5">
        <f>J53*VLOOKUP($E53,Tarifas!$B$5:$F$9,2,0)</f>
        <v/>
      </c>
      <c r="W53" s="5">
        <f>K53*VLOOKUP($E53,Tarifas!$B$5:$F$9,3,0)</f>
        <v/>
      </c>
      <c r="X53" s="5">
        <f>L53*VLOOKUP($E53,Tarifas!$B$5:$F$9,2,0)</f>
        <v/>
      </c>
      <c r="Y53" s="5">
        <f>M53*VLOOKUP($E53,Tarifas!$B$5:$F$9,3,0)</f>
        <v/>
      </c>
      <c r="Z53" s="5">
        <f>N53*VLOOKUP($E53,Tarifas!$B$5:$F$9,2,0)</f>
        <v/>
      </c>
      <c r="AA53" s="5">
        <f>O53*VLOOKUP($E53,Tarifas!$B$5:$F$9,3,0)</f>
        <v/>
      </c>
    </row>
    <row r="54">
      <c r="A54" t="inlineStr">
        <is>
          <t>RTA-04</t>
        </is>
      </c>
      <c r="B54" t="inlineStr">
        <is>
          <t>Modelo animado interactuable</t>
        </is>
      </c>
      <c r="C54" t="inlineStr">
        <is>
          <t>asset-rt</t>
        </is>
      </c>
      <c r="D54" t="inlineStr">
        <is>
          <t>QA de estados y combinaciones</t>
        </is>
      </c>
      <c r="E54" t="inlineStr">
        <is>
          <t>RC-WEB</t>
        </is>
      </c>
      <c r="F54" s="8" t="n">
        <v>0</v>
      </c>
      <c r="G54" s="8" t="n">
        <v>0</v>
      </c>
      <c r="H54" s="8" t="n">
        <v>1</v>
      </c>
      <c r="I54" s="8" t="n">
        <v>2</v>
      </c>
      <c r="J54" s="8" t="n">
        <v>2</v>
      </c>
      <c r="K54" s="8" t="n">
        <v>4</v>
      </c>
      <c r="L54" s="8" t="n">
        <v>3</v>
      </c>
      <c r="M54" s="8" t="n">
        <v>8</v>
      </c>
      <c r="N54" s="8" t="n">
        <v>4</v>
      </c>
      <c r="O54" s="8" t="n">
        <v>10</v>
      </c>
      <c r="R54" s="5">
        <f>F54*VLOOKUP($E54,Tarifas!$B$5:$F$9,2,0)</f>
        <v/>
      </c>
      <c r="S54" s="5">
        <f>G54*VLOOKUP($E54,Tarifas!$B$5:$F$9,3,0)</f>
        <v/>
      </c>
      <c r="T54" s="5">
        <f>H54*VLOOKUP($E54,Tarifas!$B$5:$F$9,2,0)</f>
        <v/>
      </c>
      <c r="U54" s="5">
        <f>I54*VLOOKUP($E54,Tarifas!$B$5:$F$9,3,0)</f>
        <v/>
      </c>
      <c r="V54" s="5">
        <f>J54*VLOOKUP($E54,Tarifas!$B$5:$F$9,2,0)</f>
        <v/>
      </c>
      <c r="W54" s="5">
        <f>K54*VLOOKUP($E54,Tarifas!$B$5:$F$9,3,0)</f>
        <v/>
      </c>
      <c r="X54" s="5">
        <f>L54*VLOOKUP($E54,Tarifas!$B$5:$F$9,2,0)</f>
        <v/>
      </c>
      <c r="Y54" s="5">
        <f>M54*VLOOKUP($E54,Tarifas!$B$5:$F$9,3,0)</f>
        <v/>
      </c>
      <c r="Z54" s="5">
        <f>N54*VLOOKUP($E54,Tarifas!$B$5:$F$9,2,0)</f>
        <v/>
      </c>
      <c r="AA54" s="5">
        <f>O54*VLOOKUP($E54,Tarifas!$B$5:$F$9,3,0)</f>
        <v/>
      </c>
    </row>
    <row r="55">
      <c r="A55" t="inlineStr">
        <is>
          <t>RTA-05</t>
        </is>
      </c>
      <c r="B55" t="inlineStr">
        <is>
          <t>Shaders estilizados</t>
        </is>
      </c>
      <c r="C55" t="inlineStr">
        <is>
          <t>asset-rt</t>
        </is>
      </c>
      <c r="D55" t="inlineStr">
        <is>
          <t>Shader basico (fresnel/emissive/gradiente)</t>
        </is>
      </c>
      <c r="E55" t="inlineStr">
        <is>
          <t>RC-RTA</t>
        </is>
      </c>
      <c r="F55" s="8" t="n">
        <v>0</v>
      </c>
      <c r="G55" s="8" t="n">
        <v>0</v>
      </c>
      <c r="H55" s="8" t="n">
        <v>2</v>
      </c>
      <c r="I55" s="8" t="n">
        <v>4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R55" s="5">
        <f>F55*VLOOKUP($E55,Tarifas!$B$5:$F$9,2,0)</f>
        <v/>
      </c>
      <c r="S55" s="5">
        <f>G55*VLOOKUP($E55,Tarifas!$B$5:$F$9,3,0)</f>
        <v/>
      </c>
      <c r="T55" s="5">
        <f>H55*VLOOKUP($E55,Tarifas!$B$5:$F$9,2,0)</f>
        <v/>
      </c>
      <c r="U55" s="5">
        <f>I55*VLOOKUP($E55,Tarifas!$B$5:$F$9,3,0)</f>
        <v/>
      </c>
      <c r="V55" s="5">
        <f>J55*VLOOKUP($E55,Tarifas!$B$5:$F$9,2,0)</f>
        <v/>
      </c>
      <c r="W55" s="5">
        <f>K55*VLOOKUP($E55,Tarifas!$B$5:$F$9,3,0)</f>
        <v/>
      </c>
      <c r="X55" s="5">
        <f>L55*VLOOKUP($E55,Tarifas!$B$5:$F$9,2,0)</f>
        <v/>
      </c>
      <c r="Y55" s="5">
        <f>M55*VLOOKUP($E55,Tarifas!$B$5:$F$9,3,0)</f>
        <v/>
      </c>
      <c r="Z55" s="5">
        <f>N55*VLOOKUP($E55,Tarifas!$B$5:$F$9,2,0)</f>
        <v/>
      </c>
      <c r="AA55" s="5">
        <f>O55*VLOOKUP($E55,Tarifas!$B$5:$F$9,3,0)</f>
        <v/>
      </c>
    </row>
    <row r="56">
      <c r="A56" t="inlineStr">
        <is>
          <t>RTA-05</t>
        </is>
      </c>
      <c r="B56" t="inlineStr">
        <is>
          <t>Shaders estilizados</t>
        </is>
      </c>
      <c r="C56" t="inlineStr">
        <is>
          <t>asset-rt</t>
        </is>
      </c>
      <c r="D56" t="inlineStr">
        <is>
          <t>Shader medio (disolucion/holograma/toon rampas)</t>
        </is>
      </c>
      <c r="E56" t="inlineStr">
        <is>
          <t>RC-RTA</t>
        </is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4</v>
      </c>
      <c r="K56" s="8" t="n">
        <v>8</v>
      </c>
      <c r="L56" s="8" t="n">
        <v>0</v>
      </c>
      <c r="M56" s="8" t="n">
        <v>0</v>
      </c>
      <c r="N56" s="8" t="n">
        <v>0</v>
      </c>
      <c r="O56" s="8" t="n">
        <v>0</v>
      </c>
      <c r="R56" s="5">
        <f>F56*VLOOKUP($E56,Tarifas!$B$5:$F$9,2,0)</f>
        <v/>
      </c>
      <c r="S56" s="5">
        <f>G56*VLOOKUP($E56,Tarifas!$B$5:$F$9,3,0)</f>
        <v/>
      </c>
      <c r="T56" s="5">
        <f>H56*VLOOKUP($E56,Tarifas!$B$5:$F$9,2,0)</f>
        <v/>
      </c>
      <c r="U56" s="5">
        <f>I56*VLOOKUP($E56,Tarifas!$B$5:$F$9,3,0)</f>
        <v/>
      </c>
      <c r="V56" s="5">
        <f>J56*VLOOKUP($E56,Tarifas!$B$5:$F$9,2,0)</f>
        <v/>
      </c>
      <c r="W56" s="5">
        <f>K56*VLOOKUP($E56,Tarifas!$B$5:$F$9,3,0)</f>
        <v/>
      </c>
      <c r="X56" s="5">
        <f>L56*VLOOKUP($E56,Tarifas!$B$5:$F$9,2,0)</f>
        <v/>
      </c>
      <c r="Y56" s="5">
        <f>M56*VLOOKUP($E56,Tarifas!$B$5:$F$9,3,0)</f>
        <v/>
      </c>
      <c r="Z56" s="5">
        <f>N56*VLOOKUP($E56,Tarifas!$B$5:$F$9,2,0)</f>
        <v/>
      </c>
      <c r="AA56" s="5">
        <f>O56*VLOOKUP($E56,Tarifas!$B$5:$F$9,3,0)</f>
        <v/>
      </c>
    </row>
    <row r="57">
      <c r="A57" t="inlineStr">
        <is>
          <t>RTA-05</t>
        </is>
      </c>
      <c r="B57" t="inlineStr">
        <is>
          <t>Shaders estilizados</t>
        </is>
      </c>
      <c r="C57" t="inlineStr">
        <is>
          <t>asset-rt</t>
        </is>
      </c>
      <c r="D57" t="inlineStr">
        <is>
          <t>Pipeline estilizado (outline pass + lighting custom)</t>
        </is>
      </c>
      <c r="E57" t="inlineStr">
        <is>
          <t>RC-RTA</t>
        </is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8</v>
      </c>
      <c r="M57" s="8" t="n">
        <v>16</v>
      </c>
      <c r="N57" s="8" t="n">
        <v>10</v>
      </c>
      <c r="O57" s="8" t="n">
        <v>20</v>
      </c>
      <c r="R57" s="5">
        <f>F57*VLOOKUP($E57,Tarifas!$B$5:$F$9,2,0)</f>
        <v/>
      </c>
      <c r="S57" s="5">
        <f>G57*VLOOKUP($E57,Tarifas!$B$5:$F$9,3,0)</f>
        <v/>
      </c>
      <c r="T57" s="5">
        <f>H57*VLOOKUP($E57,Tarifas!$B$5:$F$9,2,0)</f>
        <v/>
      </c>
      <c r="U57" s="5">
        <f>I57*VLOOKUP($E57,Tarifas!$B$5:$F$9,3,0)</f>
        <v/>
      </c>
      <c r="V57" s="5">
        <f>J57*VLOOKUP($E57,Tarifas!$B$5:$F$9,2,0)</f>
        <v/>
      </c>
      <c r="W57" s="5">
        <f>K57*VLOOKUP($E57,Tarifas!$B$5:$F$9,3,0)</f>
        <v/>
      </c>
      <c r="X57" s="5">
        <f>L57*VLOOKUP($E57,Tarifas!$B$5:$F$9,2,0)</f>
        <v/>
      </c>
      <c r="Y57" s="5">
        <f>M57*VLOOKUP($E57,Tarifas!$B$5:$F$9,3,0)</f>
        <v/>
      </c>
      <c r="Z57" s="5">
        <f>N57*VLOOKUP($E57,Tarifas!$B$5:$F$9,2,0)</f>
        <v/>
      </c>
      <c r="AA57" s="5">
        <f>O57*VLOOKUP($E57,Tarifas!$B$5:$F$9,3,0)</f>
        <v/>
      </c>
    </row>
    <row r="58">
      <c r="A58" t="inlineStr">
        <is>
          <t>RTA-05</t>
        </is>
      </c>
      <c r="B58" t="inlineStr">
        <is>
          <t>Shaders estilizados</t>
        </is>
      </c>
      <c r="C58" t="inlineStr">
        <is>
          <t>asset-rt</t>
        </is>
      </c>
      <c r="D58" t="inlineStr">
        <is>
          <t>Integracion + tuning por batch</t>
        </is>
      </c>
      <c r="E58" t="inlineStr">
        <is>
          <t>RC-WEB</t>
        </is>
      </c>
      <c r="F58" s="8" t="n">
        <v>0</v>
      </c>
      <c r="G58" s="8" t="n">
        <v>0</v>
      </c>
      <c r="H58" s="8" t="n">
        <v>2</v>
      </c>
      <c r="I58" s="8" t="n">
        <v>6</v>
      </c>
      <c r="J58" s="8" t="n">
        <v>2</v>
      </c>
      <c r="K58" s="8" t="n">
        <v>6</v>
      </c>
      <c r="L58" s="8" t="n">
        <v>2</v>
      </c>
      <c r="M58" s="8" t="n">
        <v>6</v>
      </c>
      <c r="N58" s="8" t="n">
        <v>2</v>
      </c>
      <c r="O58" s="8" t="n">
        <v>6</v>
      </c>
      <c r="R58" s="5">
        <f>F58*VLOOKUP($E58,Tarifas!$B$5:$F$9,2,0)</f>
        <v/>
      </c>
      <c r="S58" s="5">
        <f>G58*VLOOKUP($E58,Tarifas!$B$5:$F$9,3,0)</f>
        <v/>
      </c>
      <c r="T58" s="5">
        <f>H58*VLOOKUP($E58,Tarifas!$B$5:$F$9,2,0)</f>
        <v/>
      </c>
      <c r="U58" s="5">
        <f>I58*VLOOKUP($E58,Tarifas!$B$5:$F$9,3,0)</f>
        <v/>
      </c>
      <c r="V58" s="5">
        <f>J58*VLOOKUP($E58,Tarifas!$B$5:$F$9,2,0)</f>
        <v/>
      </c>
      <c r="W58" s="5">
        <f>K58*VLOOKUP($E58,Tarifas!$B$5:$F$9,3,0)</f>
        <v/>
      </c>
      <c r="X58" s="5">
        <f>L58*VLOOKUP($E58,Tarifas!$B$5:$F$9,2,0)</f>
        <v/>
      </c>
      <c r="Y58" s="5">
        <f>M58*VLOOKUP($E58,Tarifas!$B$5:$F$9,3,0)</f>
        <v/>
      </c>
      <c r="Z58" s="5">
        <f>N58*VLOOKUP($E58,Tarifas!$B$5:$F$9,2,0)</f>
        <v/>
      </c>
      <c r="AA58" s="5">
        <f>O58*VLOOKUP($E58,Tarifas!$B$5:$F$9,3,0)</f>
        <v/>
      </c>
    </row>
    <row r="59">
      <c r="A59" t="inlineStr">
        <is>
          <t>RTA-06</t>
        </is>
      </c>
      <c r="B59" t="inlineStr">
        <is>
          <t>Mecanicas sobre asset realtime</t>
        </is>
      </c>
      <c r="C59" t="inlineStr">
        <is>
          <t>asset-rt</t>
        </is>
      </c>
      <c r="D59" t="inlineStr">
        <is>
          <t>Mecanica S (explosion &lt;=10 pzs / config &lt;=5 opciones / cutaway simple)</t>
        </is>
      </c>
      <c r="E59" t="inlineStr">
        <is>
          <t>RC-WEB</t>
        </is>
      </c>
      <c r="F59" s="8" t="n">
        <v>0</v>
      </c>
      <c r="G59" s="8" t="n">
        <v>0</v>
      </c>
      <c r="H59" s="8" t="n">
        <v>3</v>
      </c>
      <c r="I59" s="8" t="n">
        <v>9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R59" s="5">
        <f>F59*VLOOKUP($E59,Tarifas!$B$5:$F$9,2,0)</f>
        <v/>
      </c>
      <c r="S59" s="5">
        <f>G59*VLOOKUP($E59,Tarifas!$B$5:$F$9,3,0)</f>
        <v/>
      </c>
      <c r="T59" s="5">
        <f>H59*VLOOKUP($E59,Tarifas!$B$5:$F$9,2,0)</f>
        <v/>
      </c>
      <c r="U59" s="5">
        <f>I59*VLOOKUP($E59,Tarifas!$B$5:$F$9,3,0)</f>
        <v/>
      </c>
      <c r="V59" s="5">
        <f>J59*VLOOKUP($E59,Tarifas!$B$5:$F$9,2,0)</f>
        <v/>
      </c>
      <c r="W59" s="5">
        <f>K59*VLOOKUP($E59,Tarifas!$B$5:$F$9,3,0)</f>
        <v/>
      </c>
      <c r="X59" s="5">
        <f>L59*VLOOKUP($E59,Tarifas!$B$5:$F$9,2,0)</f>
        <v/>
      </c>
      <c r="Y59" s="5">
        <f>M59*VLOOKUP($E59,Tarifas!$B$5:$F$9,3,0)</f>
        <v/>
      </c>
      <c r="Z59" s="5">
        <f>N59*VLOOKUP($E59,Tarifas!$B$5:$F$9,2,0)</f>
        <v/>
      </c>
      <c r="AA59" s="5">
        <f>O59*VLOOKUP($E59,Tarifas!$B$5:$F$9,3,0)</f>
        <v/>
      </c>
    </row>
    <row r="60">
      <c r="A60" t="inlineStr">
        <is>
          <t>RTA-06</t>
        </is>
      </c>
      <c r="B60" t="inlineStr">
        <is>
          <t>Mecanicas sobre asset realtime</t>
        </is>
      </c>
      <c r="C60" t="inlineStr">
        <is>
          <t>asset-rt</t>
        </is>
      </c>
      <c r="D60" t="inlineStr">
        <is>
          <t>Mecanica M (11-40 pzs etiquetas / config 6-15 opciones)</t>
        </is>
      </c>
      <c r="E60" t="inlineStr">
        <is>
          <t>RC-WEB</t>
        </is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7</v>
      </c>
      <c r="K60" s="8" t="n">
        <v>20</v>
      </c>
      <c r="L60" s="8" t="n">
        <v>0</v>
      </c>
      <c r="M60" s="8" t="n">
        <v>0</v>
      </c>
      <c r="N60" s="8" t="n">
        <v>0</v>
      </c>
      <c r="O60" s="8" t="n">
        <v>0</v>
      </c>
      <c r="R60" s="5">
        <f>F60*VLOOKUP($E60,Tarifas!$B$5:$F$9,2,0)</f>
        <v/>
      </c>
      <c r="S60" s="5">
        <f>G60*VLOOKUP($E60,Tarifas!$B$5:$F$9,3,0)</f>
        <v/>
      </c>
      <c r="T60" s="5">
        <f>H60*VLOOKUP($E60,Tarifas!$B$5:$F$9,2,0)</f>
        <v/>
      </c>
      <c r="U60" s="5">
        <f>I60*VLOOKUP($E60,Tarifas!$B$5:$F$9,3,0)</f>
        <v/>
      </c>
      <c r="V60" s="5">
        <f>J60*VLOOKUP($E60,Tarifas!$B$5:$F$9,2,0)</f>
        <v/>
      </c>
      <c r="W60" s="5">
        <f>K60*VLOOKUP($E60,Tarifas!$B$5:$F$9,3,0)</f>
        <v/>
      </c>
      <c r="X60" s="5">
        <f>L60*VLOOKUP($E60,Tarifas!$B$5:$F$9,2,0)</f>
        <v/>
      </c>
      <c r="Y60" s="5">
        <f>M60*VLOOKUP($E60,Tarifas!$B$5:$F$9,3,0)</f>
        <v/>
      </c>
      <c r="Z60" s="5">
        <f>N60*VLOOKUP($E60,Tarifas!$B$5:$F$9,2,0)</f>
        <v/>
      </c>
      <c r="AA60" s="5">
        <f>O60*VLOOKUP($E60,Tarifas!$B$5:$F$9,3,0)</f>
        <v/>
      </c>
    </row>
    <row r="61">
      <c r="A61" t="inlineStr">
        <is>
          <t>RTA-06</t>
        </is>
      </c>
      <c r="B61" t="inlineStr">
        <is>
          <t>Mecanicas sobre asset realtime</t>
        </is>
      </c>
      <c r="C61" t="inlineStr">
        <is>
          <t>asset-rt</t>
        </is>
      </c>
      <c r="D61" t="inlineStr">
        <is>
          <t>Mecanica L (multi-nivel / multi-eje + share URL)</t>
        </is>
      </c>
      <c r="E61" t="inlineStr">
        <is>
          <t>RC-WEB</t>
        </is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18</v>
      </c>
      <c r="M61" s="8" t="n">
        <v>40</v>
      </c>
      <c r="N61" s="8" t="n">
        <v>22</v>
      </c>
      <c r="O61" s="8" t="n">
        <v>50</v>
      </c>
      <c r="R61" s="5">
        <f>F61*VLOOKUP($E61,Tarifas!$B$5:$F$9,2,0)</f>
        <v/>
      </c>
      <c r="S61" s="5">
        <f>G61*VLOOKUP($E61,Tarifas!$B$5:$F$9,3,0)</f>
        <v/>
      </c>
      <c r="T61" s="5">
        <f>H61*VLOOKUP($E61,Tarifas!$B$5:$F$9,2,0)</f>
        <v/>
      </c>
      <c r="U61" s="5">
        <f>I61*VLOOKUP($E61,Tarifas!$B$5:$F$9,3,0)</f>
        <v/>
      </c>
      <c r="V61" s="5">
        <f>J61*VLOOKUP($E61,Tarifas!$B$5:$F$9,2,0)</f>
        <v/>
      </c>
      <c r="W61" s="5">
        <f>K61*VLOOKUP($E61,Tarifas!$B$5:$F$9,3,0)</f>
        <v/>
      </c>
      <c r="X61" s="5">
        <f>L61*VLOOKUP($E61,Tarifas!$B$5:$F$9,2,0)</f>
        <v/>
      </c>
      <c r="Y61" s="5">
        <f>M61*VLOOKUP($E61,Tarifas!$B$5:$F$9,3,0)</f>
        <v/>
      </c>
      <c r="Z61" s="5">
        <f>N61*VLOOKUP($E61,Tarifas!$B$5:$F$9,2,0)</f>
        <v/>
      </c>
      <c r="AA61" s="5">
        <f>O61*VLOOKUP($E61,Tarifas!$B$5:$F$9,3,0)</f>
        <v/>
      </c>
    </row>
    <row r="62">
      <c r="A62" t="inlineStr">
        <is>
          <t>RTA-06</t>
        </is>
      </c>
      <c r="B62" t="inlineStr">
        <is>
          <t>Mecanicas sobre asset realtime</t>
        </is>
      </c>
      <c r="C62" t="inlineStr">
        <is>
          <t>asset-rt</t>
        </is>
      </c>
      <c r="D62" t="inlineStr">
        <is>
          <t>Mediciones/cotas en escena (opcional)</t>
        </is>
      </c>
      <c r="E62" t="inlineStr">
        <is>
          <t>RC-WEB</t>
        </is>
      </c>
      <c r="F62" s="8" t="n">
        <v>0</v>
      </c>
      <c r="G62" s="8" t="n">
        <v>0</v>
      </c>
      <c r="H62" s="8" t="n">
        <v>1</v>
      </c>
      <c r="I62" s="8" t="n">
        <v>3</v>
      </c>
      <c r="J62" s="8" t="n">
        <v>2</v>
      </c>
      <c r="K62" s="8" t="n">
        <v>5</v>
      </c>
      <c r="L62" s="8" t="n">
        <v>3</v>
      </c>
      <c r="M62" s="8" t="n">
        <v>7</v>
      </c>
      <c r="N62" s="8" t="n">
        <v>4</v>
      </c>
      <c r="O62" s="8" t="n">
        <v>8</v>
      </c>
      <c r="R62" s="5">
        <f>F62*VLOOKUP($E62,Tarifas!$B$5:$F$9,2,0)</f>
        <v/>
      </c>
      <c r="S62" s="5">
        <f>G62*VLOOKUP($E62,Tarifas!$B$5:$F$9,3,0)</f>
        <v/>
      </c>
      <c r="T62" s="5">
        <f>H62*VLOOKUP($E62,Tarifas!$B$5:$F$9,2,0)</f>
        <v/>
      </c>
      <c r="U62" s="5">
        <f>I62*VLOOKUP($E62,Tarifas!$B$5:$F$9,3,0)</f>
        <v/>
      </c>
      <c r="V62" s="5">
        <f>J62*VLOOKUP($E62,Tarifas!$B$5:$F$9,2,0)</f>
        <v/>
      </c>
      <c r="W62" s="5">
        <f>K62*VLOOKUP($E62,Tarifas!$B$5:$F$9,3,0)</f>
        <v/>
      </c>
      <c r="X62" s="5">
        <f>L62*VLOOKUP($E62,Tarifas!$B$5:$F$9,2,0)</f>
        <v/>
      </c>
      <c r="Y62" s="5">
        <f>M62*VLOOKUP($E62,Tarifas!$B$5:$F$9,3,0)</f>
        <v/>
      </c>
      <c r="Z62" s="5">
        <f>N62*VLOOKUP($E62,Tarifas!$B$5:$F$9,2,0)</f>
        <v/>
      </c>
      <c r="AA62" s="5">
        <f>O62*VLOOKUP($E62,Tarifas!$B$5:$F$9,3,0)</f>
        <v/>
      </c>
    </row>
    <row r="63">
      <c r="A63" t="inlineStr">
        <is>
          <t>WEB-02</t>
        </is>
      </c>
      <c r="B63" t="inlineStr">
        <is>
          <t>Visor embebido (Spline/Sketchfab/model-viewer)</t>
        </is>
      </c>
      <c r="C63" t="inlineStr">
        <is>
          <t>web-3d</t>
        </is>
      </c>
      <c r="D63" t="inlineStr">
        <is>
          <t>Adaptar asset + embed responsive</t>
        </is>
      </c>
      <c r="E63" t="inlineStr">
        <is>
          <t>RC-WEB</t>
        </is>
      </c>
      <c r="F63" s="8" t="n">
        <v>0</v>
      </c>
      <c r="G63" s="8" t="n">
        <v>0</v>
      </c>
      <c r="H63" s="8" t="n">
        <v>2</v>
      </c>
      <c r="I63" s="8" t="n">
        <v>5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R63" s="5">
        <f>F63*VLOOKUP($E63,Tarifas!$B$5:$F$9,2,0)</f>
        <v/>
      </c>
      <c r="S63" s="5">
        <f>G63*VLOOKUP($E63,Tarifas!$B$5:$F$9,3,0)</f>
        <v/>
      </c>
      <c r="T63" s="5">
        <f>H63*VLOOKUP($E63,Tarifas!$B$5:$F$9,2,0)</f>
        <v/>
      </c>
      <c r="U63" s="5">
        <f>I63*VLOOKUP($E63,Tarifas!$B$5:$F$9,3,0)</f>
        <v/>
      </c>
      <c r="V63" s="5">
        <f>J63*VLOOKUP($E63,Tarifas!$B$5:$F$9,2,0)</f>
        <v/>
      </c>
      <c r="W63" s="5">
        <f>K63*VLOOKUP($E63,Tarifas!$B$5:$F$9,3,0)</f>
        <v/>
      </c>
      <c r="X63" s="5">
        <f>L63*VLOOKUP($E63,Tarifas!$B$5:$F$9,2,0)</f>
        <v/>
      </c>
      <c r="Y63" s="5">
        <f>M63*VLOOKUP($E63,Tarifas!$B$5:$F$9,3,0)</f>
        <v/>
      </c>
      <c r="Z63" s="5">
        <f>N63*VLOOKUP($E63,Tarifas!$B$5:$F$9,2,0)</f>
        <v/>
      </c>
      <c r="AA63" s="5">
        <f>O63*VLOOKUP($E63,Tarifas!$B$5:$F$9,3,0)</f>
        <v/>
      </c>
    </row>
    <row r="64">
      <c r="A64" t="inlineStr">
        <is>
          <t>WEB-02</t>
        </is>
      </c>
      <c r="B64" t="inlineStr">
        <is>
          <t>Visor embebido (Spline/Sketchfab/model-viewer)</t>
        </is>
      </c>
      <c r="C64" t="inlineStr">
        <is>
          <t>web-3d</t>
        </is>
      </c>
      <c r="D64" t="inlineStr">
        <is>
          <t>Skin/loading custom + API + analytics</t>
        </is>
      </c>
      <c r="E64" t="inlineStr">
        <is>
          <t>RC-WEB</t>
        </is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5</v>
      </c>
      <c r="K64" s="8" t="n">
        <v>12</v>
      </c>
      <c r="L64" s="8" t="n">
        <v>0</v>
      </c>
      <c r="M64" s="8" t="n">
        <v>0</v>
      </c>
      <c r="N64" s="8" t="n">
        <v>0</v>
      </c>
      <c r="O64" s="8" t="n">
        <v>0</v>
      </c>
      <c r="R64" s="5">
        <f>F64*VLOOKUP($E64,Tarifas!$B$5:$F$9,2,0)</f>
        <v/>
      </c>
      <c r="S64" s="5">
        <f>G64*VLOOKUP($E64,Tarifas!$B$5:$F$9,3,0)</f>
        <v/>
      </c>
      <c r="T64" s="5">
        <f>H64*VLOOKUP($E64,Tarifas!$B$5:$F$9,2,0)</f>
        <v/>
      </c>
      <c r="U64" s="5">
        <f>I64*VLOOKUP($E64,Tarifas!$B$5:$F$9,3,0)</f>
        <v/>
      </c>
      <c r="V64" s="5">
        <f>J64*VLOOKUP($E64,Tarifas!$B$5:$F$9,2,0)</f>
        <v/>
      </c>
      <c r="W64" s="5">
        <f>K64*VLOOKUP($E64,Tarifas!$B$5:$F$9,3,0)</f>
        <v/>
      </c>
      <c r="X64" s="5">
        <f>L64*VLOOKUP($E64,Tarifas!$B$5:$F$9,2,0)</f>
        <v/>
      </c>
      <c r="Y64" s="5">
        <f>M64*VLOOKUP($E64,Tarifas!$B$5:$F$9,3,0)</f>
        <v/>
      </c>
      <c r="Z64" s="5">
        <f>N64*VLOOKUP($E64,Tarifas!$B$5:$F$9,2,0)</f>
        <v/>
      </c>
      <c r="AA64" s="5">
        <f>O64*VLOOKUP($E64,Tarifas!$B$5:$F$9,3,0)</f>
        <v/>
      </c>
    </row>
    <row r="65">
      <c r="A65" t="inlineStr">
        <is>
          <t>WEB-02</t>
        </is>
      </c>
      <c r="B65" t="inlineStr">
        <is>
          <t>Visor embebido (Spline/Sketchfab/model-viewer)</t>
        </is>
      </c>
      <c r="C65" t="inlineStr">
        <is>
          <t>web-3d</t>
        </is>
      </c>
      <c r="D65" t="inlineStr">
        <is>
          <t>Multi-escena + contenido via JSON editable</t>
        </is>
      </c>
      <c r="E65" t="inlineStr">
        <is>
          <t>RC-WEB</t>
        </is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12</v>
      </c>
      <c r="M65" s="8" t="n">
        <v>24</v>
      </c>
      <c r="N65" s="8" t="n">
        <v>14</v>
      </c>
      <c r="O65" s="8" t="n">
        <v>29</v>
      </c>
      <c r="R65" s="5">
        <f>F65*VLOOKUP($E65,Tarifas!$B$5:$F$9,2,0)</f>
        <v/>
      </c>
      <c r="S65" s="5">
        <f>G65*VLOOKUP($E65,Tarifas!$B$5:$F$9,3,0)</f>
        <v/>
      </c>
      <c r="T65" s="5">
        <f>H65*VLOOKUP($E65,Tarifas!$B$5:$F$9,2,0)</f>
        <v/>
      </c>
      <c r="U65" s="5">
        <f>I65*VLOOKUP($E65,Tarifas!$B$5:$F$9,3,0)</f>
        <v/>
      </c>
      <c r="V65" s="5">
        <f>J65*VLOOKUP($E65,Tarifas!$B$5:$F$9,2,0)</f>
        <v/>
      </c>
      <c r="W65" s="5">
        <f>K65*VLOOKUP($E65,Tarifas!$B$5:$F$9,3,0)</f>
        <v/>
      </c>
      <c r="X65" s="5">
        <f>L65*VLOOKUP($E65,Tarifas!$B$5:$F$9,2,0)</f>
        <v/>
      </c>
      <c r="Y65" s="5">
        <f>M65*VLOOKUP($E65,Tarifas!$B$5:$F$9,3,0)</f>
        <v/>
      </c>
      <c r="Z65" s="5">
        <f>N65*VLOOKUP($E65,Tarifas!$B$5:$F$9,2,0)</f>
        <v/>
      </c>
      <c r="AA65" s="5">
        <f>O65*VLOOKUP($E65,Tarifas!$B$5:$F$9,3,0)</f>
        <v/>
      </c>
    </row>
    <row r="66">
      <c r="A66" t="inlineStr">
        <is>
          <t>WEB-03</t>
        </is>
      </c>
      <c r="B66" t="inlineStr">
        <is>
          <t>Unity WebGL: build y embedding</t>
        </is>
      </c>
      <c r="C66" t="inlineStr">
        <is>
          <t>web-3d</t>
        </is>
      </c>
      <c r="D66" t="inlineStr">
        <is>
          <t>Build + compresion + template loading</t>
        </is>
      </c>
      <c r="E66" t="inlineStr">
        <is>
          <t>RC-WEB</t>
        </is>
      </c>
      <c r="F66" s="8" t="n">
        <v>0</v>
      </c>
      <c r="G66" s="8" t="n">
        <v>0</v>
      </c>
      <c r="H66" s="8" t="n">
        <v>4</v>
      </c>
      <c r="I66" s="8" t="n">
        <v>6</v>
      </c>
      <c r="J66" s="8" t="n">
        <v>4</v>
      </c>
      <c r="K66" s="8" t="n">
        <v>7</v>
      </c>
      <c r="L66" s="8" t="n">
        <v>6</v>
      </c>
      <c r="M66" s="8" t="n">
        <v>10</v>
      </c>
      <c r="N66" s="8" t="n">
        <v>7</v>
      </c>
      <c r="O66" s="8" t="n">
        <v>12</v>
      </c>
      <c r="R66" s="5">
        <f>F66*VLOOKUP($E66,Tarifas!$B$5:$F$9,2,0)</f>
        <v/>
      </c>
      <c r="S66" s="5">
        <f>G66*VLOOKUP($E66,Tarifas!$B$5:$F$9,3,0)</f>
        <v/>
      </c>
      <c r="T66" s="5">
        <f>H66*VLOOKUP($E66,Tarifas!$B$5:$F$9,2,0)</f>
        <v/>
      </c>
      <c r="U66" s="5">
        <f>I66*VLOOKUP($E66,Tarifas!$B$5:$F$9,3,0)</f>
        <v/>
      </c>
      <c r="V66" s="5">
        <f>J66*VLOOKUP($E66,Tarifas!$B$5:$F$9,2,0)</f>
        <v/>
      </c>
      <c r="W66" s="5">
        <f>K66*VLOOKUP($E66,Tarifas!$B$5:$F$9,3,0)</f>
        <v/>
      </c>
      <c r="X66" s="5">
        <f>L66*VLOOKUP($E66,Tarifas!$B$5:$F$9,2,0)</f>
        <v/>
      </c>
      <c r="Y66" s="5">
        <f>M66*VLOOKUP($E66,Tarifas!$B$5:$F$9,3,0)</f>
        <v/>
      </c>
      <c r="Z66" s="5">
        <f>N66*VLOOKUP($E66,Tarifas!$B$5:$F$9,2,0)</f>
        <v/>
      </c>
      <c r="AA66" s="5">
        <f>O66*VLOOKUP($E66,Tarifas!$B$5:$F$9,3,0)</f>
        <v/>
      </c>
    </row>
    <row r="67">
      <c r="A67" t="inlineStr">
        <is>
          <t>WEB-03</t>
        </is>
      </c>
      <c r="B67" t="inlineStr">
        <is>
          <t>Unity WebGL: build y embedding</t>
        </is>
      </c>
      <c r="C67" t="inlineStr">
        <is>
          <t>web-3d</t>
        </is>
      </c>
      <c r="D67" t="inlineStr">
        <is>
          <t>Embed responsive + integracion al sitio</t>
        </is>
      </c>
      <c r="E67" t="inlineStr">
        <is>
          <t>RC-WEB</t>
        </is>
      </c>
      <c r="F67" s="8" t="n">
        <v>0</v>
      </c>
      <c r="G67" s="8" t="n">
        <v>0</v>
      </c>
      <c r="H67" s="8" t="n">
        <v>2</v>
      </c>
      <c r="I67" s="8" t="n">
        <v>4</v>
      </c>
      <c r="J67" s="8" t="n">
        <v>3</v>
      </c>
      <c r="K67" s="8" t="n">
        <v>6</v>
      </c>
      <c r="L67" s="8" t="n">
        <v>4</v>
      </c>
      <c r="M67" s="8" t="n">
        <v>8</v>
      </c>
      <c r="N67" s="8" t="n">
        <v>5</v>
      </c>
      <c r="O67" s="8" t="n">
        <v>9</v>
      </c>
      <c r="R67" s="5">
        <f>F67*VLOOKUP($E67,Tarifas!$B$5:$F$9,2,0)</f>
        <v/>
      </c>
      <c r="S67" s="5">
        <f>G67*VLOOKUP($E67,Tarifas!$B$5:$F$9,3,0)</f>
        <v/>
      </c>
      <c r="T67" s="5">
        <f>H67*VLOOKUP($E67,Tarifas!$B$5:$F$9,2,0)</f>
        <v/>
      </c>
      <c r="U67" s="5">
        <f>I67*VLOOKUP($E67,Tarifas!$B$5:$F$9,3,0)</f>
        <v/>
      </c>
      <c r="V67" s="5">
        <f>J67*VLOOKUP($E67,Tarifas!$B$5:$F$9,2,0)</f>
        <v/>
      </c>
      <c r="W67" s="5">
        <f>K67*VLOOKUP($E67,Tarifas!$B$5:$F$9,3,0)</f>
        <v/>
      </c>
      <c r="X67" s="5">
        <f>L67*VLOOKUP($E67,Tarifas!$B$5:$F$9,2,0)</f>
        <v/>
      </c>
      <c r="Y67" s="5">
        <f>M67*VLOOKUP($E67,Tarifas!$B$5:$F$9,3,0)</f>
        <v/>
      </c>
      <c r="Z67" s="5">
        <f>N67*VLOOKUP($E67,Tarifas!$B$5:$F$9,2,0)</f>
        <v/>
      </c>
      <c r="AA67" s="5">
        <f>O67*VLOOKUP($E67,Tarifas!$B$5:$F$9,3,0)</f>
        <v/>
      </c>
    </row>
    <row r="68">
      <c r="A68" t="inlineStr">
        <is>
          <t>WEB-03</t>
        </is>
      </c>
      <c r="B68" t="inlineStr">
        <is>
          <t>Unity WebGL: build y embedding</t>
        </is>
      </c>
      <c r="C68" t="inlineStr">
        <is>
          <t>web-3d</t>
        </is>
      </c>
      <c r="D68" t="inlineStr">
        <is>
          <t>Puente JS &lt;-&gt; Unity bidireccional</t>
        </is>
      </c>
      <c r="E68" t="inlineStr">
        <is>
          <t>RC-WEB</t>
        </is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4</v>
      </c>
      <c r="K68" s="8" t="n">
        <v>8</v>
      </c>
      <c r="L68" s="8" t="n">
        <v>8</v>
      </c>
      <c r="M68" s="8" t="n">
        <v>14</v>
      </c>
      <c r="N68" s="8" t="n">
        <v>10</v>
      </c>
      <c r="O68" s="8" t="n">
        <v>17</v>
      </c>
      <c r="R68" s="5">
        <f>F68*VLOOKUP($E68,Tarifas!$B$5:$F$9,2,0)</f>
        <v/>
      </c>
      <c r="S68" s="5">
        <f>G68*VLOOKUP($E68,Tarifas!$B$5:$F$9,3,0)</f>
        <v/>
      </c>
      <c r="T68" s="5">
        <f>H68*VLOOKUP($E68,Tarifas!$B$5:$F$9,2,0)</f>
        <v/>
      </c>
      <c r="U68" s="5">
        <f>I68*VLOOKUP($E68,Tarifas!$B$5:$F$9,3,0)</f>
        <v/>
      </c>
      <c r="V68" s="5">
        <f>J68*VLOOKUP($E68,Tarifas!$B$5:$F$9,2,0)</f>
        <v/>
      </c>
      <c r="W68" s="5">
        <f>K68*VLOOKUP($E68,Tarifas!$B$5:$F$9,3,0)</f>
        <v/>
      </c>
      <c r="X68" s="5">
        <f>L68*VLOOKUP($E68,Tarifas!$B$5:$F$9,2,0)</f>
        <v/>
      </c>
      <c r="Y68" s="5">
        <f>M68*VLOOKUP($E68,Tarifas!$B$5:$F$9,3,0)</f>
        <v/>
      </c>
      <c r="Z68" s="5">
        <f>N68*VLOOKUP($E68,Tarifas!$B$5:$F$9,2,0)</f>
        <v/>
      </c>
      <c r="AA68" s="5">
        <f>O68*VLOOKUP($E68,Tarifas!$B$5:$F$9,3,0)</f>
        <v/>
      </c>
    </row>
    <row r="69">
      <c r="A69" t="inlineStr">
        <is>
          <t>WEB-03</t>
        </is>
      </c>
      <c r="B69" t="inlineStr">
        <is>
          <t>Unity WebGL: build y embedding</t>
        </is>
      </c>
      <c r="C69" t="inlineStr">
        <is>
          <t>web-3d</t>
        </is>
      </c>
      <c r="D69" t="inlineStr">
        <is>
          <t>Presupuesto memoria/perf movil</t>
        </is>
      </c>
      <c r="E69" t="inlineStr">
        <is>
          <t>RC-WEB</t>
        </is>
      </c>
      <c r="F69" s="8" t="n">
        <v>0</v>
      </c>
      <c r="G69" s="8" t="n">
        <v>0</v>
      </c>
      <c r="H69" s="8" t="n">
        <v>2</v>
      </c>
      <c r="I69" s="8" t="n">
        <v>4</v>
      </c>
      <c r="J69" s="8" t="n">
        <v>3</v>
      </c>
      <c r="K69" s="8" t="n">
        <v>5</v>
      </c>
      <c r="L69" s="8" t="n">
        <v>4</v>
      </c>
      <c r="M69" s="8" t="n">
        <v>7</v>
      </c>
      <c r="N69" s="8" t="n">
        <v>5</v>
      </c>
      <c r="O69" s="8" t="n">
        <v>8</v>
      </c>
      <c r="R69" s="5">
        <f>F69*VLOOKUP($E69,Tarifas!$B$5:$F$9,2,0)</f>
        <v/>
      </c>
      <c r="S69" s="5">
        <f>G69*VLOOKUP($E69,Tarifas!$B$5:$F$9,3,0)</f>
        <v/>
      </c>
      <c r="T69" s="5">
        <f>H69*VLOOKUP($E69,Tarifas!$B$5:$F$9,2,0)</f>
        <v/>
      </c>
      <c r="U69" s="5">
        <f>I69*VLOOKUP($E69,Tarifas!$B$5:$F$9,3,0)</f>
        <v/>
      </c>
      <c r="V69" s="5">
        <f>J69*VLOOKUP($E69,Tarifas!$B$5:$F$9,2,0)</f>
        <v/>
      </c>
      <c r="W69" s="5">
        <f>K69*VLOOKUP($E69,Tarifas!$B$5:$F$9,3,0)</f>
        <v/>
      </c>
      <c r="X69" s="5">
        <f>L69*VLOOKUP($E69,Tarifas!$B$5:$F$9,2,0)</f>
        <v/>
      </c>
      <c r="Y69" s="5">
        <f>M69*VLOOKUP($E69,Tarifas!$B$5:$F$9,3,0)</f>
        <v/>
      </c>
      <c r="Z69" s="5">
        <f>N69*VLOOKUP($E69,Tarifas!$B$5:$F$9,2,0)</f>
        <v/>
      </c>
      <c r="AA69" s="5">
        <f>O69*VLOOKUP($E69,Tarifas!$B$5:$F$9,3,0)</f>
        <v/>
      </c>
    </row>
    <row r="70">
      <c r="A70" t="inlineStr">
        <is>
          <t>WEB-03</t>
        </is>
      </c>
      <c r="B70" t="inlineStr">
        <is>
          <t>Unity WebGL: build y embedding</t>
        </is>
      </c>
      <c r="C70" t="inlineStr">
        <is>
          <t>web-3d</t>
        </is>
      </c>
      <c r="D70" t="inlineStr">
        <is>
          <t>QA navegadores (iOS Safari incluido)</t>
        </is>
      </c>
      <c r="E70" t="inlineStr">
        <is>
          <t>RC-WEB</t>
        </is>
      </c>
      <c r="F70" s="8" t="n">
        <v>0</v>
      </c>
      <c r="G70" s="8" t="n">
        <v>0</v>
      </c>
      <c r="H70" s="8" t="n">
        <v>2</v>
      </c>
      <c r="I70" s="8" t="n">
        <v>4</v>
      </c>
      <c r="J70" s="8" t="n">
        <v>3</v>
      </c>
      <c r="K70" s="8" t="n">
        <v>6</v>
      </c>
      <c r="L70" s="8" t="n">
        <v>4</v>
      </c>
      <c r="M70" s="8" t="n">
        <v>8</v>
      </c>
      <c r="N70" s="8" t="n">
        <v>5</v>
      </c>
      <c r="O70" s="8" t="n">
        <v>9</v>
      </c>
      <c r="R70" s="5">
        <f>F70*VLOOKUP($E70,Tarifas!$B$5:$F$9,2,0)</f>
        <v/>
      </c>
      <c r="S70" s="5">
        <f>G70*VLOOKUP($E70,Tarifas!$B$5:$F$9,3,0)</f>
        <v/>
      </c>
      <c r="T70" s="5">
        <f>H70*VLOOKUP($E70,Tarifas!$B$5:$F$9,2,0)</f>
        <v/>
      </c>
      <c r="U70" s="5">
        <f>I70*VLOOKUP($E70,Tarifas!$B$5:$F$9,3,0)</f>
        <v/>
      </c>
      <c r="V70" s="5">
        <f>J70*VLOOKUP($E70,Tarifas!$B$5:$F$9,2,0)</f>
        <v/>
      </c>
      <c r="W70" s="5">
        <f>K70*VLOOKUP($E70,Tarifas!$B$5:$F$9,3,0)</f>
        <v/>
      </c>
      <c r="X70" s="5">
        <f>L70*VLOOKUP($E70,Tarifas!$B$5:$F$9,2,0)</f>
        <v/>
      </c>
      <c r="Y70" s="5">
        <f>M70*VLOOKUP($E70,Tarifas!$B$5:$F$9,3,0)</f>
        <v/>
      </c>
      <c r="Z70" s="5">
        <f>N70*VLOOKUP($E70,Tarifas!$B$5:$F$9,2,0)</f>
        <v/>
      </c>
      <c r="AA70" s="5">
        <f>O70*VLOOKUP($E70,Tarifas!$B$5:$F$9,3,0)</f>
        <v/>
      </c>
    </row>
    <row r="71">
      <c r="A71" t="inlineStr">
        <is>
          <t>WEB-05</t>
        </is>
      </c>
      <c r="B71" t="inlineStr">
        <is>
          <t>Scrollytelling con 3D</t>
        </is>
      </c>
      <c r="C71" t="inlineStr">
        <is>
          <t>web-3d</t>
        </is>
      </c>
      <c r="D71" t="inlineStr">
        <is>
          <t>Storyboard tecnico + wireframe scroll</t>
        </is>
      </c>
      <c r="E71" t="inlineStr">
        <is>
          <t>RC-WEB</t>
        </is>
      </c>
      <c r="F71" s="8" t="n">
        <v>0</v>
      </c>
      <c r="G71" s="8" t="n">
        <v>0</v>
      </c>
      <c r="H71" s="8" t="n">
        <v>2</v>
      </c>
      <c r="I71" s="8" t="n">
        <v>3</v>
      </c>
      <c r="J71" s="8" t="n">
        <v>3</v>
      </c>
      <c r="K71" s="8" t="n">
        <v>5</v>
      </c>
      <c r="L71" s="8" t="n">
        <v>4</v>
      </c>
      <c r="M71" s="8" t="n">
        <v>8</v>
      </c>
      <c r="N71" s="8" t="n">
        <v>5</v>
      </c>
      <c r="O71" s="8" t="n">
        <v>9</v>
      </c>
      <c r="R71" s="5">
        <f>F71*VLOOKUP($E71,Tarifas!$B$5:$F$9,2,0)</f>
        <v/>
      </c>
      <c r="S71" s="5">
        <f>G71*VLOOKUP($E71,Tarifas!$B$5:$F$9,3,0)</f>
        <v/>
      </c>
      <c r="T71" s="5">
        <f>H71*VLOOKUP($E71,Tarifas!$B$5:$F$9,2,0)</f>
        <v/>
      </c>
      <c r="U71" s="5">
        <f>I71*VLOOKUP($E71,Tarifas!$B$5:$F$9,3,0)</f>
        <v/>
      </c>
      <c r="V71" s="5">
        <f>J71*VLOOKUP($E71,Tarifas!$B$5:$F$9,2,0)</f>
        <v/>
      </c>
      <c r="W71" s="5">
        <f>K71*VLOOKUP($E71,Tarifas!$B$5:$F$9,3,0)</f>
        <v/>
      </c>
      <c r="X71" s="5">
        <f>L71*VLOOKUP($E71,Tarifas!$B$5:$F$9,2,0)</f>
        <v/>
      </c>
      <c r="Y71" s="5">
        <f>M71*VLOOKUP($E71,Tarifas!$B$5:$F$9,3,0)</f>
        <v/>
      </c>
      <c r="Z71" s="5">
        <f>N71*VLOOKUP($E71,Tarifas!$B$5:$F$9,2,0)</f>
        <v/>
      </c>
      <c r="AA71" s="5">
        <f>O71*VLOOKUP($E71,Tarifas!$B$5:$F$9,3,0)</f>
        <v/>
      </c>
    </row>
    <row r="72">
      <c r="A72" t="inlineStr">
        <is>
          <t>WEB-05</t>
        </is>
      </c>
      <c r="B72" t="inlineStr">
        <is>
          <t>Scrollytelling con 3D</t>
        </is>
      </c>
      <c r="C72" t="inlineStr">
        <is>
          <t>web-3d</t>
        </is>
      </c>
      <c r="D72" t="inlineStr">
        <is>
          <t>Timeline scroll-driven (camara/estado)</t>
        </is>
      </c>
      <c r="E72" t="inlineStr">
        <is>
          <t>RC-WEB</t>
        </is>
      </c>
      <c r="F72" s="8" t="n">
        <v>0</v>
      </c>
      <c r="G72" s="8" t="n">
        <v>0</v>
      </c>
      <c r="H72" s="8" t="n">
        <v>5</v>
      </c>
      <c r="I72" s="8" t="n">
        <v>8</v>
      </c>
      <c r="J72" s="8" t="n">
        <v>8</v>
      </c>
      <c r="K72" s="8" t="n">
        <v>15</v>
      </c>
      <c r="L72" s="8" t="n">
        <v>15</v>
      </c>
      <c r="M72" s="8" t="n">
        <v>30</v>
      </c>
      <c r="N72" s="8" t="n">
        <v>18</v>
      </c>
      <c r="O72" s="8" t="n">
        <v>36</v>
      </c>
      <c r="R72" s="5">
        <f>F72*VLOOKUP($E72,Tarifas!$B$5:$F$9,2,0)</f>
        <v/>
      </c>
      <c r="S72" s="5">
        <f>G72*VLOOKUP($E72,Tarifas!$B$5:$F$9,3,0)</f>
        <v/>
      </c>
      <c r="T72" s="5">
        <f>H72*VLOOKUP($E72,Tarifas!$B$5:$F$9,2,0)</f>
        <v/>
      </c>
      <c r="U72" s="5">
        <f>I72*VLOOKUP($E72,Tarifas!$B$5:$F$9,3,0)</f>
        <v/>
      </c>
      <c r="V72" s="5">
        <f>J72*VLOOKUP($E72,Tarifas!$B$5:$F$9,2,0)</f>
        <v/>
      </c>
      <c r="W72" s="5">
        <f>K72*VLOOKUP($E72,Tarifas!$B$5:$F$9,3,0)</f>
        <v/>
      </c>
      <c r="X72" s="5">
        <f>L72*VLOOKUP($E72,Tarifas!$B$5:$F$9,2,0)</f>
        <v/>
      </c>
      <c r="Y72" s="5">
        <f>M72*VLOOKUP($E72,Tarifas!$B$5:$F$9,3,0)</f>
        <v/>
      </c>
      <c r="Z72" s="5">
        <f>N72*VLOOKUP($E72,Tarifas!$B$5:$F$9,2,0)</f>
        <v/>
      </c>
      <c r="AA72" s="5">
        <f>O72*VLOOKUP($E72,Tarifas!$B$5:$F$9,3,0)</f>
        <v/>
      </c>
    </row>
    <row r="73">
      <c r="A73" t="inlineStr">
        <is>
          <t>WEB-05</t>
        </is>
      </c>
      <c r="B73" t="inlineStr">
        <is>
          <t>Scrollytelling con 3D</t>
        </is>
      </c>
      <c r="C73" t="inlineStr">
        <is>
          <t>web-3d</t>
        </is>
      </c>
      <c r="D73" t="inlineStr">
        <is>
          <t>Sincronizacion copy/secciones DOM</t>
        </is>
      </c>
      <c r="E73" t="inlineStr">
        <is>
          <t>RC-WEB</t>
        </is>
      </c>
      <c r="F73" s="8" t="n">
        <v>0</v>
      </c>
      <c r="G73" s="8" t="n">
        <v>0</v>
      </c>
      <c r="H73" s="8" t="n">
        <v>2</v>
      </c>
      <c r="I73" s="8" t="n">
        <v>4</v>
      </c>
      <c r="J73" s="8" t="n">
        <v>3</v>
      </c>
      <c r="K73" s="8" t="n">
        <v>5</v>
      </c>
      <c r="L73" s="8" t="n">
        <v>4</v>
      </c>
      <c r="M73" s="8" t="n">
        <v>8</v>
      </c>
      <c r="N73" s="8" t="n">
        <v>5</v>
      </c>
      <c r="O73" s="8" t="n">
        <v>9</v>
      </c>
      <c r="R73" s="5">
        <f>F73*VLOOKUP($E73,Tarifas!$B$5:$F$9,2,0)</f>
        <v/>
      </c>
      <c r="S73" s="5">
        <f>G73*VLOOKUP($E73,Tarifas!$B$5:$F$9,3,0)</f>
        <v/>
      </c>
      <c r="T73" s="5">
        <f>H73*VLOOKUP($E73,Tarifas!$B$5:$F$9,2,0)</f>
        <v/>
      </c>
      <c r="U73" s="5">
        <f>I73*VLOOKUP($E73,Tarifas!$B$5:$F$9,3,0)</f>
        <v/>
      </c>
      <c r="V73" s="5">
        <f>J73*VLOOKUP($E73,Tarifas!$B$5:$F$9,2,0)</f>
        <v/>
      </c>
      <c r="W73" s="5">
        <f>K73*VLOOKUP($E73,Tarifas!$B$5:$F$9,3,0)</f>
        <v/>
      </c>
      <c r="X73" s="5">
        <f>L73*VLOOKUP($E73,Tarifas!$B$5:$F$9,2,0)</f>
        <v/>
      </c>
      <c r="Y73" s="5">
        <f>M73*VLOOKUP($E73,Tarifas!$B$5:$F$9,3,0)</f>
        <v/>
      </c>
      <c r="Z73" s="5">
        <f>N73*VLOOKUP($E73,Tarifas!$B$5:$F$9,2,0)</f>
        <v/>
      </c>
      <c r="AA73" s="5">
        <f>O73*VLOOKUP($E73,Tarifas!$B$5:$F$9,3,0)</f>
        <v/>
      </c>
    </row>
    <row r="74">
      <c r="A74" t="inlineStr">
        <is>
          <t>WEB-05</t>
        </is>
      </c>
      <c r="B74" t="inlineStr">
        <is>
          <t>Scrollytelling con 3D</t>
        </is>
      </c>
      <c r="C74" t="inlineStr">
        <is>
          <t>web-3d</t>
        </is>
      </c>
      <c r="D74" t="inlineStr">
        <is>
          <t>Perf movil + fallbacks estaticos</t>
        </is>
      </c>
      <c r="E74" t="inlineStr">
        <is>
          <t>RC-WEB</t>
        </is>
      </c>
      <c r="F74" s="8" t="n">
        <v>0</v>
      </c>
      <c r="G74" s="8" t="n">
        <v>0</v>
      </c>
      <c r="H74" s="8" t="n">
        <v>1</v>
      </c>
      <c r="I74" s="8" t="n">
        <v>3</v>
      </c>
      <c r="J74" s="8" t="n">
        <v>3</v>
      </c>
      <c r="K74" s="8" t="n">
        <v>6</v>
      </c>
      <c r="L74" s="8" t="n">
        <v>5</v>
      </c>
      <c r="M74" s="8" t="n">
        <v>10</v>
      </c>
      <c r="N74" s="8" t="n">
        <v>6</v>
      </c>
      <c r="O74" s="8" t="n">
        <v>12</v>
      </c>
      <c r="R74" s="5">
        <f>F74*VLOOKUP($E74,Tarifas!$B$5:$F$9,2,0)</f>
        <v/>
      </c>
      <c r="S74" s="5">
        <f>G74*VLOOKUP($E74,Tarifas!$B$5:$F$9,3,0)</f>
        <v/>
      </c>
      <c r="T74" s="5">
        <f>H74*VLOOKUP($E74,Tarifas!$B$5:$F$9,2,0)</f>
        <v/>
      </c>
      <c r="U74" s="5">
        <f>I74*VLOOKUP($E74,Tarifas!$B$5:$F$9,3,0)</f>
        <v/>
      </c>
      <c r="V74" s="5">
        <f>J74*VLOOKUP($E74,Tarifas!$B$5:$F$9,2,0)</f>
        <v/>
      </c>
      <c r="W74" s="5">
        <f>K74*VLOOKUP($E74,Tarifas!$B$5:$F$9,3,0)</f>
        <v/>
      </c>
      <c r="X74" s="5">
        <f>L74*VLOOKUP($E74,Tarifas!$B$5:$F$9,2,0)</f>
        <v/>
      </c>
      <c r="Y74" s="5">
        <f>M74*VLOOKUP($E74,Tarifas!$B$5:$F$9,3,0)</f>
        <v/>
      </c>
      <c r="Z74" s="5">
        <f>N74*VLOOKUP($E74,Tarifas!$B$5:$F$9,2,0)</f>
        <v/>
      </c>
      <c r="AA74" s="5">
        <f>O74*VLOOKUP($E74,Tarifas!$B$5:$F$9,3,0)</f>
        <v/>
      </c>
    </row>
    <row r="75">
      <c r="A75" t="inlineStr">
        <is>
          <t>WEB-05</t>
        </is>
      </c>
      <c r="B75" t="inlineStr">
        <is>
          <t>Scrollytelling con 3D</t>
        </is>
      </c>
      <c r="C75" t="inlineStr">
        <is>
          <t>web-3d</t>
        </is>
      </c>
      <c r="D75" t="inlineStr">
        <is>
          <t>QA dispositivos</t>
        </is>
      </c>
      <c r="E75" t="inlineStr">
        <is>
          <t>RC-WEB</t>
        </is>
      </c>
      <c r="F75" s="8" t="n">
        <v>0</v>
      </c>
      <c r="G75" s="8" t="n">
        <v>0</v>
      </c>
      <c r="H75" s="8" t="n">
        <v>1</v>
      </c>
      <c r="I75" s="8" t="n">
        <v>2</v>
      </c>
      <c r="J75" s="8" t="n">
        <v>2</v>
      </c>
      <c r="K75" s="8" t="n">
        <v>4</v>
      </c>
      <c r="L75" s="8" t="n">
        <v>3</v>
      </c>
      <c r="M75" s="8" t="n">
        <v>6</v>
      </c>
      <c r="N75" s="8" t="n">
        <v>4</v>
      </c>
      <c r="O75" s="8" t="n">
        <v>7</v>
      </c>
      <c r="R75" s="5">
        <f>F75*VLOOKUP($E75,Tarifas!$B$5:$F$9,2,0)</f>
        <v/>
      </c>
      <c r="S75" s="5">
        <f>G75*VLOOKUP($E75,Tarifas!$B$5:$F$9,3,0)</f>
        <v/>
      </c>
      <c r="T75" s="5">
        <f>H75*VLOOKUP($E75,Tarifas!$B$5:$F$9,2,0)</f>
        <v/>
      </c>
      <c r="U75" s="5">
        <f>I75*VLOOKUP($E75,Tarifas!$B$5:$F$9,3,0)</f>
        <v/>
      </c>
      <c r="V75" s="5">
        <f>J75*VLOOKUP($E75,Tarifas!$B$5:$F$9,2,0)</f>
        <v/>
      </c>
      <c r="W75" s="5">
        <f>K75*VLOOKUP($E75,Tarifas!$B$5:$F$9,3,0)</f>
        <v/>
      </c>
      <c r="X75" s="5">
        <f>L75*VLOOKUP($E75,Tarifas!$B$5:$F$9,2,0)</f>
        <v/>
      </c>
      <c r="Y75" s="5">
        <f>M75*VLOOKUP($E75,Tarifas!$B$5:$F$9,3,0)</f>
        <v/>
      </c>
      <c r="Z75" s="5">
        <f>N75*VLOOKUP($E75,Tarifas!$B$5:$F$9,2,0)</f>
        <v/>
      </c>
      <c r="AA75" s="5">
        <f>O75*VLOOKUP($E75,Tarifas!$B$5:$F$9,3,0)</f>
        <v/>
      </c>
    </row>
    <row r="76">
      <c r="A76" t="inlineStr">
        <is>
          <t>WEB-06</t>
        </is>
      </c>
      <c r="B76" t="inlineStr">
        <is>
          <t>Minijuego web</t>
        </is>
      </c>
      <c r="C76" t="inlineStr">
        <is>
          <t>web-3d</t>
        </is>
      </c>
      <c r="D76" t="inlineStr">
        <is>
          <t>Mini-GDD + prototipo mecanica</t>
        </is>
      </c>
      <c r="E76" t="inlineStr">
        <is>
          <t>RC-WEB</t>
        </is>
      </c>
      <c r="F76" s="8" t="n">
        <v>0</v>
      </c>
      <c r="G76" s="8" t="n">
        <v>0</v>
      </c>
      <c r="H76" s="8" t="n">
        <v>5</v>
      </c>
      <c r="I76" s="8" t="n">
        <v>10</v>
      </c>
      <c r="J76" s="8" t="n">
        <v>8</v>
      </c>
      <c r="K76" s="8" t="n">
        <v>16</v>
      </c>
      <c r="L76" s="8" t="n">
        <v>12</v>
      </c>
      <c r="M76" s="8" t="n">
        <v>24</v>
      </c>
      <c r="N76" s="8" t="n">
        <v>14</v>
      </c>
      <c r="O76" s="8" t="n">
        <v>28</v>
      </c>
      <c r="R76" s="5">
        <f>F76*VLOOKUP($E76,Tarifas!$B$5:$F$9,2,0)</f>
        <v/>
      </c>
      <c r="S76" s="5">
        <f>G76*VLOOKUP($E76,Tarifas!$B$5:$F$9,3,0)</f>
        <v/>
      </c>
      <c r="T76" s="5">
        <f>H76*VLOOKUP($E76,Tarifas!$B$5:$F$9,2,0)</f>
        <v/>
      </c>
      <c r="U76" s="5">
        <f>I76*VLOOKUP($E76,Tarifas!$B$5:$F$9,3,0)</f>
        <v/>
      </c>
      <c r="V76" s="5">
        <f>J76*VLOOKUP($E76,Tarifas!$B$5:$F$9,2,0)</f>
        <v/>
      </c>
      <c r="W76" s="5">
        <f>K76*VLOOKUP($E76,Tarifas!$B$5:$F$9,3,0)</f>
        <v/>
      </c>
      <c r="X76" s="5">
        <f>L76*VLOOKUP($E76,Tarifas!$B$5:$F$9,2,0)</f>
        <v/>
      </c>
      <c r="Y76" s="5">
        <f>M76*VLOOKUP($E76,Tarifas!$B$5:$F$9,3,0)</f>
        <v/>
      </c>
      <c r="Z76" s="5">
        <f>N76*VLOOKUP($E76,Tarifas!$B$5:$F$9,2,0)</f>
        <v/>
      </c>
      <c r="AA76" s="5">
        <f>O76*VLOOKUP($E76,Tarifas!$B$5:$F$9,3,0)</f>
        <v/>
      </c>
    </row>
    <row r="77">
      <c r="A77" t="inlineStr">
        <is>
          <t>WEB-06</t>
        </is>
      </c>
      <c r="B77" t="inlineStr">
        <is>
          <t>Minijuego web</t>
        </is>
      </c>
      <c r="C77" t="inlineStr">
        <is>
          <t>web-3d</t>
        </is>
      </c>
      <c r="D77" t="inlineStr">
        <is>
          <t>Implementacion gameplay + niveles</t>
        </is>
      </c>
      <c r="E77" t="inlineStr">
        <is>
          <t>RC-WEB</t>
        </is>
      </c>
      <c r="F77" s="8" t="n">
        <v>0</v>
      </c>
      <c r="G77" s="8" t="n">
        <v>0</v>
      </c>
      <c r="H77" s="8" t="n">
        <v>15</v>
      </c>
      <c r="I77" s="8" t="n">
        <v>35</v>
      </c>
      <c r="J77" s="8" t="n">
        <v>35</v>
      </c>
      <c r="K77" s="8" t="n">
        <v>70</v>
      </c>
      <c r="L77" s="8" t="n">
        <v>70</v>
      </c>
      <c r="M77" s="8" t="n">
        <v>130</v>
      </c>
      <c r="N77" s="8" t="n">
        <v>85</v>
      </c>
      <c r="O77" s="8" t="n">
        <v>156</v>
      </c>
      <c r="R77" s="5">
        <f>F77*VLOOKUP($E77,Tarifas!$B$5:$F$9,2,0)</f>
        <v/>
      </c>
      <c r="S77" s="5">
        <f>G77*VLOOKUP($E77,Tarifas!$B$5:$F$9,3,0)</f>
        <v/>
      </c>
      <c r="T77" s="5">
        <f>H77*VLOOKUP($E77,Tarifas!$B$5:$F$9,2,0)</f>
        <v/>
      </c>
      <c r="U77" s="5">
        <f>I77*VLOOKUP($E77,Tarifas!$B$5:$F$9,3,0)</f>
        <v/>
      </c>
      <c r="V77" s="5">
        <f>J77*VLOOKUP($E77,Tarifas!$B$5:$F$9,2,0)</f>
        <v/>
      </c>
      <c r="W77" s="5">
        <f>K77*VLOOKUP($E77,Tarifas!$B$5:$F$9,3,0)</f>
        <v/>
      </c>
      <c r="X77" s="5">
        <f>L77*VLOOKUP($E77,Tarifas!$B$5:$F$9,2,0)</f>
        <v/>
      </c>
      <c r="Y77" s="5">
        <f>M77*VLOOKUP($E77,Tarifas!$B$5:$F$9,3,0)</f>
        <v/>
      </c>
      <c r="Z77" s="5">
        <f>N77*VLOOKUP($E77,Tarifas!$B$5:$F$9,2,0)</f>
        <v/>
      </c>
      <c r="AA77" s="5">
        <f>O77*VLOOKUP($E77,Tarifas!$B$5:$F$9,3,0)</f>
        <v/>
      </c>
    </row>
    <row r="78">
      <c r="A78" t="inlineStr">
        <is>
          <t>WEB-06</t>
        </is>
      </c>
      <c r="B78" t="inlineStr">
        <is>
          <t>Minijuego web</t>
        </is>
      </c>
      <c r="C78" t="inlineStr">
        <is>
          <t>web-3d</t>
        </is>
      </c>
      <c r="D78" t="inlineStr">
        <is>
          <t>Game-feel, estados, pantalla inicio/fin</t>
        </is>
      </c>
      <c r="E78" t="inlineStr">
        <is>
          <t>RC-WEB</t>
        </is>
      </c>
      <c r="F78" s="8" t="n">
        <v>0</v>
      </c>
      <c r="G78" s="8" t="n">
        <v>0</v>
      </c>
      <c r="H78" s="8" t="n">
        <v>4</v>
      </c>
      <c r="I78" s="8" t="n">
        <v>8</v>
      </c>
      <c r="J78" s="8" t="n">
        <v>8</v>
      </c>
      <c r="K78" s="8" t="n">
        <v>16</v>
      </c>
      <c r="L78" s="8" t="n">
        <v>14</v>
      </c>
      <c r="M78" s="8" t="n">
        <v>26</v>
      </c>
      <c r="N78" s="8" t="n">
        <v>17</v>
      </c>
      <c r="O78" s="8" t="n">
        <v>31</v>
      </c>
      <c r="R78" s="5">
        <f>F78*VLOOKUP($E78,Tarifas!$B$5:$F$9,2,0)</f>
        <v/>
      </c>
      <c r="S78" s="5">
        <f>G78*VLOOKUP($E78,Tarifas!$B$5:$F$9,3,0)</f>
        <v/>
      </c>
      <c r="T78" s="5">
        <f>H78*VLOOKUP($E78,Tarifas!$B$5:$F$9,2,0)</f>
        <v/>
      </c>
      <c r="U78" s="5">
        <f>I78*VLOOKUP($E78,Tarifas!$B$5:$F$9,3,0)</f>
        <v/>
      </c>
      <c r="V78" s="5">
        <f>J78*VLOOKUP($E78,Tarifas!$B$5:$F$9,2,0)</f>
        <v/>
      </c>
      <c r="W78" s="5">
        <f>K78*VLOOKUP($E78,Tarifas!$B$5:$F$9,3,0)</f>
        <v/>
      </c>
      <c r="X78" s="5">
        <f>L78*VLOOKUP($E78,Tarifas!$B$5:$F$9,2,0)</f>
        <v/>
      </c>
      <c r="Y78" s="5">
        <f>M78*VLOOKUP($E78,Tarifas!$B$5:$F$9,3,0)</f>
        <v/>
      </c>
      <c r="Z78" s="5">
        <f>N78*VLOOKUP($E78,Tarifas!$B$5:$F$9,2,0)</f>
        <v/>
      </c>
      <c r="AA78" s="5">
        <f>O78*VLOOKUP($E78,Tarifas!$B$5:$F$9,3,0)</f>
        <v/>
      </c>
    </row>
    <row r="79">
      <c r="A79" t="inlineStr">
        <is>
          <t>WEB-06</t>
        </is>
      </c>
      <c r="B79" t="inlineStr">
        <is>
          <t>Minijuego web</t>
        </is>
      </c>
      <c r="C79" t="inlineStr">
        <is>
          <t>web-3d</t>
        </is>
      </c>
      <c r="D79" t="inlineStr">
        <is>
          <t>QA dispositivos + controles tactiles</t>
        </is>
      </c>
      <c r="E79" t="inlineStr">
        <is>
          <t>RC-WEB</t>
        </is>
      </c>
      <c r="F79" s="8" t="n">
        <v>0</v>
      </c>
      <c r="G79" s="8" t="n">
        <v>0</v>
      </c>
      <c r="H79" s="8" t="n">
        <v>1</v>
      </c>
      <c r="I79" s="8" t="n">
        <v>2</v>
      </c>
      <c r="J79" s="8" t="n">
        <v>4</v>
      </c>
      <c r="K79" s="8" t="n">
        <v>8</v>
      </c>
      <c r="L79" s="8" t="n">
        <v>6</v>
      </c>
      <c r="M79" s="8" t="n">
        <v>12</v>
      </c>
      <c r="N79" s="8" t="n">
        <v>7</v>
      </c>
      <c r="O79" s="8" t="n">
        <v>14</v>
      </c>
      <c r="R79" s="5">
        <f>F79*VLOOKUP($E79,Tarifas!$B$5:$F$9,2,0)</f>
        <v/>
      </c>
      <c r="S79" s="5">
        <f>G79*VLOOKUP($E79,Tarifas!$B$5:$F$9,3,0)</f>
        <v/>
      </c>
      <c r="T79" s="5">
        <f>H79*VLOOKUP($E79,Tarifas!$B$5:$F$9,2,0)</f>
        <v/>
      </c>
      <c r="U79" s="5">
        <f>I79*VLOOKUP($E79,Tarifas!$B$5:$F$9,3,0)</f>
        <v/>
      </c>
      <c r="V79" s="5">
        <f>J79*VLOOKUP($E79,Tarifas!$B$5:$F$9,2,0)</f>
        <v/>
      </c>
      <c r="W79" s="5">
        <f>K79*VLOOKUP($E79,Tarifas!$B$5:$F$9,3,0)</f>
        <v/>
      </c>
      <c r="X79" s="5">
        <f>L79*VLOOKUP($E79,Tarifas!$B$5:$F$9,2,0)</f>
        <v/>
      </c>
      <c r="Y79" s="5">
        <f>M79*VLOOKUP($E79,Tarifas!$B$5:$F$9,3,0)</f>
        <v/>
      </c>
      <c r="Z79" s="5">
        <f>N79*VLOOKUP($E79,Tarifas!$B$5:$F$9,2,0)</f>
        <v/>
      </c>
      <c r="AA79" s="5">
        <f>O79*VLOOKUP($E79,Tarifas!$B$5:$F$9,3,0)</f>
        <v/>
      </c>
    </row>
    <row r="80">
      <c r="A80" t="inlineStr">
        <is>
          <t>WEB-07</t>
        </is>
      </c>
      <c r="B80" t="inlineStr">
        <is>
          <t>Catalogo interactivo 3D</t>
        </is>
      </c>
      <c r="C80" t="inlineStr">
        <is>
          <t>web-3d</t>
        </is>
      </c>
      <c r="D80" t="inlineStr">
        <is>
          <t>Visor 3D compartido + pipeline carga</t>
        </is>
      </c>
      <c r="E80" t="inlineStr">
        <is>
          <t>RC-WEB</t>
        </is>
      </c>
      <c r="F80" s="8" t="n">
        <v>0</v>
      </c>
      <c r="G80" s="8" t="n">
        <v>0</v>
      </c>
      <c r="H80" s="8" t="n">
        <v>8</v>
      </c>
      <c r="I80" s="8" t="n">
        <v>18</v>
      </c>
      <c r="J80" s="8" t="n">
        <v>14</v>
      </c>
      <c r="K80" s="8" t="n">
        <v>32</v>
      </c>
      <c r="L80" s="8" t="n">
        <v>24</v>
      </c>
      <c r="M80" s="8" t="n">
        <v>50</v>
      </c>
      <c r="N80" s="8" t="n">
        <v>28</v>
      </c>
      <c r="O80" s="8" t="n">
        <v>58</v>
      </c>
      <c r="R80" s="5">
        <f>F80*VLOOKUP($E80,Tarifas!$B$5:$F$9,2,0)</f>
        <v/>
      </c>
      <c r="S80" s="5">
        <f>G80*VLOOKUP($E80,Tarifas!$B$5:$F$9,3,0)</f>
        <v/>
      </c>
      <c r="T80" s="5">
        <f>H80*VLOOKUP($E80,Tarifas!$B$5:$F$9,2,0)</f>
        <v/>
      </c>
      <c r="U80" s="5">
        <f>I80*VLOOKUP($E80,Tarifas!$B$5:$F$9,3,0)</f>
        <v/>
      </c>
      <c r="V80" s="5">
        <f>J80*VLOOKUP($E80,Tarifas!$B$5:$F$9,2,0)</f>
        <v/>
      </c>
      <c r="W80" s="5">
        <f>K80*VLOOKUP($E80,Tarifas!$B$5:$F$9,3,0)</f>
        <v/>
      </c>
      <c r="X80" s="5">
        <f>L80*VLOOKUP($E80,Tarifas!$B$5:$F$9,2,0)</f>
        <v/>
      </c>
      <c r="Y80" s="5">
        <f>M80*VLOOKUP($E80,Tarifas!$B$5:$F$9,3,0)</f>
        <v/>
      </c>
      <c r="Z80" s="5">
        <f>N80*VLOOKUP($E80,Tarifas!$B$5:$F$9,2,0)</f>
        <v/>
      </c>
      <c r="AA80" s="5">
        <f>O80*VLOOKUP($E80,Tarifas!$B$5:$F$9,3,0)</f>
        <v/>
      </c>
    </row>
    <row r="81">
      <c r="A81" t="inlineStr">
        <is>
          <t>WEB-07</t>
        </is>
      </c>
      <c r="B81" t="inlineStr">
        <is>
          <t>Catalogo interactivo 3D</t>
        </is>
      </c>
      <c r="C81" t="inlineStr">
        <is>
          <t>web-3d</t>
        </is>
      </c>
      <c r="D81" t="inlineStr">
        <is>
          <t>Fichas + plantillas producto</t>
        </is>
      </c>
      <c r="E81" t="inlineStr">
        <is>
          <t>RC-WEB</t>
        </is>
      </c>
      <c r="F81" s="8" t="n">
        <v>0</v>
      </c>
      <c r="G81" s="8" t="n">
        <v>0</v>
      </c>
      <c r="H81" s="8" t="n">
        <v>6</v>
      </c>
      <c r="I81" s="8" t="n">
        <v>14</v>
      </c>
      <c r="J81" s="8" t="n">
        <v>12</v>
      </c>
      <c r="K81" s="8" t="n">
        <v>26</v>
      </c>
      <c r="L81" s="8" t="n">
        <v>24</v>
      </c>
      <c r="M81" s="8" t="n">
        <v>48</v>
      </c>
      <c r="N81" s="8" t="n">
        <v>29</v>
      </c>
      <c r="O81" s="8" t="n">
        <v>56</v>
      </c>
      <c r="R81" s="5">
        <f>F81*VLOOKUP($E81,Tarifas!$B$5:$F$9,2,0)</f>
        <v/>
      </c>
      <c r="S81" s="5">
        <f>G81*VLOOKUP($E81,Tarifas!$B$5:$F$9,3,0)</f>
        <v/>
      </c>
      <c r="T81" s="5">
        <f>H81*VLOOKUP($E81,Tarifas!$B$5:$F$9,2,0)</f>
        <v/>
      </c>
      <c r="U81" s="5">
        <f>I81*VLOOKUP($E81,Tarifas!$B$5:$F$9,3,0)</f>
        <v/>
      </c>
      <c r="V81" s="5">
        <f>J81*VLOOKUP($E81,Tarifas!$B$5:$F$9,2,0)</f>
        <v/>
      </c>
      <c r="W81" s="5">
        <f>K81*VLOOKUP($E81,Tarifas!$B$5:$F$9,3,0)</f>
        <v/>
      </c>
      <c r="X81" s="5">
        <f>L81*VLOOKUP($E81,Tarifas!$B$5:$F$9,2,0)</f>
        <v/>
      </c>
      <c r="Y81" s="5">
        <f>M81*VLOOKUP($E81,Tarifas!$B$5:$F$9,3,0)</f>
        <v/>
      </c>
      <c r="Z81" s="5">
        <f>N81*VLOOKUP($E81,Tarifas!$B$5:$F$9,2,0)</f>
        <v/>
      </c>
      <c r="AA81" s="5">
        <f>O81*VLOOKUP($E81,Tarifas!$B$5:$F$9,3,0)</f>
        <v/>
      </c>
    </row>
    <row r="82">
      <c r="A82" t="inlineStr">
        <is>
          <t>WEB-07</t>
        </is>
      </c>
      <c r="B82" t="inlineStr">
        <is>
          <t>Catalogo interactivo 3D</t>
        </is>
      </c>
      <c r="C82" t="inlineStr">
        <is>
          <t>web-3d</t>
        </is>
      </c>
      <c r="D82" t="inlineStr">
        <is>
          <t>Filtros/busqueda/variantes SKU</t>
        </is>
      </c>
      <c r="E82" t="inlineStr">
        <is>
          <t>RC-WEB</t>
        </is>
      </c>
      <c r="F82" s="8" t="n">
        <v>0</v>
      </c>
      <c r="G82" s="8" t="n">
        <v>0</v>
      </c>
      <c r="H82" s="8" t="n">
        <v>3</v>
      </c>
      <c r="I82" s="8" t="n">
        <v>8</v>
      </c>
      <c r="J82" s="8" t="n">
        <v>10</v>
      </c>
      <c r="K82" s="8" t="n">
        <v>20</v>
      </c>
      <c r="L82" s="8" t="n">
        <v>24</v>
      </c>
      <c r="M82" s="8" t="n">
        <v>44</v>
      </c>
      <c r="N82" s="8" t="n">
        <v>29</v>
      </c>
      <c r="O82" s="8" t="n">
        <v>51</v>
      </c>
      <c r="R82" s="5">
        <f>F82*VLOOKUP($E82,Tarifas!$B$5:$F$9,2,0)</f>
        <v/>
      </c>
      <c r="S82" s="5">
        <f>G82*VLOOKUP($E82,Tarifas!$B$5:$F$9,3,0)</f>
        <v/>
      </c>
      <c r="T82" s="5">
        <f>H82*VLOOKUP($E82,Tarifas!$B$5:$F$9,2,0)</f>
        <v/>
      </c>
      <c r="U82" s="5">
        <f>I82*VLOOKUP($E82,Tarifas!$B$5:$F$9,3,0)</f>
        <v/>
      </c>
      <c r="V82" s="5">
        <f>J82*VLOOKUP($E82,Tarifas!$B$5:$F$9,2,0)</f>
        <v/>
      </c>
      <c r="W82" s="5">
        <f>K82*VLOOKUP($E82,Tarifas!$B$5:$F$9,3,0)</f>
        <v/>
      </c>
      <c r="X82" s="5">
        <f>L82*VLOOKUP($E82,Tarifas!$B$5:$F$9,2,0)</f>
        <v/>
      </c>
      <c r="Y82" s="5">
        <f>M82*VLOOKUP($E82,Tarifas!$B$5:$F$9,3,0)</f>
        <v/>
      </c>
      <c r="Z82" s="5">
        <f>N82*VLOOKUP($E82,Tarifas!$B$5:$F$9,2,0)</f>
        <v/>
      </c>
      <c r="AA82" s="5">
        <f>O82*VLOOKUP($E82,Tarifas!$B$5:$F$9,3,0)</f>
        <v/>
      </c>
    </row>
    <row r="83">
      <c r="A83" t="inlineStr">
        <is>
          <t>WEB-07</t>
        </is>
      </c>
      <c r="B83" t="inlineStr">
        <is>
          <t>Catalogo interactivo 3D</t>
        </is>
      </c>
      <c r="C83" t="inlineStr">
        <is>
          <t>web-3d</t>
        </is>
      </c>
      <c r="D83" t="inlineStr">
        <is>
          <t>Gestion datos JSON/CMS-lite</t>
        </is>
      </c>
      <c r="E83" t="inlineStr">
        <is>
          <t>RC-WEB</t>
        </is>
      </c>
      <c r="F83" s="8" t="n">
        <v>0</v>
      </c>
      <c r="G83" s="8" t="n">
        <v>0</v>
      </c>
      <c r="H83" s="8" t="n">
        <v>1</v>
      </c>
      <c r="I83" s="8" t="n">
        <v>2</v>
      </c>
      <c r="J83" s="8" t="n">
        <v>4</v>
      </c>
      <c r="K83" s="8" t="n">
        <v>7</v>
      </c>
      <c r="L83" s="8" t="n">
        <v>13</v>
      </c>
      <c r="M83" s="8" t="n">
        <v>18</v>
      </c>
      <c r="N83" s="8" t="n">
        <v>16</v>
      </c>
      <c r="O83" s="8" t="n">
        <v>21</v>
      </c>
      <c r="R83" s="5">
        <f>F83*VLOOKUP($E83,Tarifas!$B$5:$F$9,2,0)</f>
        <v/>
      </c>
      <c r="S83" s="5">
        <f>G83*VLOOKUP($E83,Tarifas!$B$5:$F$9,3,0)</f>
        <v/>
      </c>
      <c r="T83" s="5">
        <f>H83*VLOOKUP($E83,Tarifas!$B$5:$F$9,2,0)</f>
        <v/>
      </c>
      <c r="U83" s="5">
        <f>I83*VLOOKUP($E83,Tarifas!$B$5:$F$9,3,0)</f>
        <v/>
      </c>
      <c r="V83" s="5">
        <f>J83*VLOOKUP($E83,Tarifas!$B$5:$F$9,2,0)</f>
        <v/>
      </c>
      <c r="W83" s="5">
        <f>K83*VLOOKUP($E83,Tarifas!$B$5:$F$9,3,0)</f>
        <v/>
      </c>
      <c r="X83" s="5">
        <f>L83*VLOOKUP($E83,Tarifas!$B$5:$F$9,2,0)</f>
        <v/>
      </c>
      <c r="Y83" s="5">
        <f>M83*VLOOKUP($E83,Tarifas!$B$5:$F$9,3,0)</f>
        <v/>
      </c>
      <c r="Z83" s="5">
        <f>N83*VLOOKUP($E83,Tarifas!$B$5:$F$9,2,0)</f>
        <v/>
      </c>
      <c r="AA83" s="5">
        <f>O83*VLOOKUP($E83,Tarifas!$B$5:$F$9,3,0)</f>
        <v/>
      </c>
    </row>
    <row r="84">
      <c r="A84" t="inlineStr">
        <is>
          <t>WEB-08</t>
        </is>
      </c>
      <c r="B84" t="inlineStr">
        <is>
          <t>Presentacion web interactiva</t>
        </is>
      </c>
      <c r="C84" t="inlineStr">
        <is>
          <t>web-3d</t>
        </is>
      </c>
      <c r="D84" t="inlineStr">
        <is>
          <t>Slides + plantilla visual</t>
        </is>
      </c>
      <c r="E84" t="inlineStr">
        <is>
          <t>RC-WEB</t>
        </is>
      </c>
      <c r="F84" s="8" t="n">
        <v>0</v>
      </c>
      <c r="G84" s="8" t="n">
        <v>0</v>
      </c>
      <c r="H84" s="8" t="n">
        <v>6</v>
      </c>
      <c r="I84" s="8" t="n">
        <v>12</v>
      </c>
      <c r="J84" s="8" t="n">
        <v>10</v>
      </c>
      <c r="K84" s="8" t="n">
        <v>20</v>
      </c>
      <c r="L84" s="8" t="n">
        <v>16</v>
      </c>
      <c r="M84" s="8" t="n">
        <v>30</v>
      </c>
      <c r="N84" s="8" t="n">
        <v>19</v>
      </c>
      <c r="O84" s="8" t="n">
        <v>35</v>
      </c>
      <c r="R84" s="5">
        <f>F84*VLOOKUP($E84,Tarifas!$B$5:$F$9,2,0)</f>
        <v/>
      </c>
      <c r="S84" s="5">
        <f>G84*VLOOKUP($E84,Tarifas!$B$5:$F$9,3,0)</f>
        <v/>
      </c>
      <c r="T84" s="5">
        <f>H84*VLOOKUP($E84,Tarifas!$B$5:$F$9,2,0)</f>
        <v/>
      </c>
      <c r="U84" s="5">
        <f>I84*VLOOKUP($E84,Tarifas!$B$5:$F$9,3,0)</f>
        <v/>
      </c>
      <c r="V84" s="5">
        <f>J84*VLOOKUP($E84,Tarifas!$B$5:$F$9,2,0)</f>
        <v/>
      </c>
      <c r="W84" s="5">
        <f>K84*VLOOKUP($E84,Tarifas!$B$5:$F$9,3,0)</f>
        <v/>
      </c>
      <c r="X84" s="5">
        <f>L84*VLOOKUP($E84,Tarifas!$B$5:$F$9,2,0)</f>
        <v/>
      </c>
      <c r="Y84" s="5">
        <f>M84*VLOOKUP($E84,Tarifas!$B$5:$F$9,3,0)</f>
        <v/>
      </c>
      <c r="Z84" s="5">
        <f>N84*VLOOKUP($E84,Tarifas!$B$5:$F$9,2,0)</f>
        <v/>
      </c>
      <c r="AA84" s="5">
        <f>O84*VLOOKUP($E84,Tarifas!$B$5:$F$9,3,0)</f>
        <v/>
      </c>
    </row>
    <row r="85">
      <c r="A85" t="inlineStr">
        <is>
          <t>WEB-08</t>
        </is>
      </c>
      <c r="B85" t="inlineStr">
        <is>
          <t>Presentacion web interactiva</t>
        </is>
      </c>
      <c r="C85" t="inlineStr">
        <is>
          <t>web-3d</t>
        </is>
      </c>
      <c r="D85" t="inlineStr">
        <is>
          <t>Navegacion (lineal/no lineal) + media</t>
        </is>
      </c>
      <c r="E85" t="inlineStr">
        <is>
          <t>RC-WEB</t>
        </is>
      </c>
      <c r="F85" s="8" t="n">
        <v>0</v>
      </c>
      <c r="G85" s="8" t="n">
        <v>0</v>
      </c>
      <c r="H85" s="8" t="n">
        <v>1</v>
      </c>
      <c r="I85" s="8" t="n">
        <v>4</v>
      </c>
      <c r="J85" s="8" t="n">
        <v>5</v>
      </c>
      <c r="K85" s="8" t="n">
        <v>9</v>
      </c>
      <c r="L85" s="8" t="n">
        <v>10</v>
      </c>
      <c r="M85" s="8" t="n">
        <v>18</v>
      </c>
      <c r="N85" s="8" t="n">
        <v>12</v>
      </c>
      <c r="O85" s="8" t="n">
        <v>21</v>
      </c>
      <c r="R85" s="5">
        <f>F85*VLOOKUP($E85,Tarifas!$B$5:$F$9,2,0)</f>
        <v/>
      </c>
      <c r="S85" s="5">
        <f>G85*VLOOKUP($E85,Tarifas!$B$5:$F$9,3,0)</f>
        <v/>
      </c>
      <c r="T85" s="5">
        <f>H85*VLOOKUP($E85,Tarifas!$B$5:$F$9,2,0)</f>
        <v/>
      </c>
      <c r="U85" s="5">
        <f>I85*VLOOKUP($E85,Tarifas!$B$5:$F$9,3,0)</f>
        <v/>
      </c>
      <c r="V85" s="5">
        <f>J85*VLOOKUP($E85,Tarifas!$B$5:$F$9,2,0)</f>
        <v/>
      </c>
      <c r="W85" s="5">
        <f>K85*VLOOKUP($E85,Tarifas!$B$5:$F$9,3,0)</f>
        <v/>
      </c>
      <c r="X85" s="5">
        <f>L85*VLOOKUP($E85,Tarifas!$B$5:$F$9,2,0)</f>
        <v/>
      </c>
      <c r="Y85" s="5">
        <f>M85*VLOOKUP($E85,Tarifas!$B$5:$F$9,3,0)</f>
        <v/>
      </c>
      <c r="Z85" s="5">
        <f>N85*VLOOKUP($E85,Tarifas!$B$5:$F$9,2,0)</f>
        <v/>
      </c>
      <c r="AA85" s="5">
        <f>O85*VLOOKUP($E85,Tarifas!$B$5:$F$9,3,0)</f>
        <v/>
      </c>
    </row>
    <row r="86">
      <c r="A86" t="inlineStr">
        <is>
          <t>WEB-08</t>
        </is>
      </c>
      <c r="B86" t="inlineStr">
        <is>
          <t>Presentacion web interactiva</t>
        </is>
      </c>
      <c r="C86" t="inlineStr">
        <is>
          <t>web-3d</t>
        </is>
      </c>
      <c r="D86" t="inlineStr">
        <is>
          <t>Datos vivos/filtros tiempo real (L+)</t>
        </is>
      </c>
      <c r="E86" t="inlineStr">
        <is>
          <t>RC-WEB</t>
        </is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9</v>
      </c>
      <c r="M86" s="8" t="n">
        <v>12</v>
      </c>
      <c r="N86" s="8" t="n">
        <v>11</v>
      </c>
      <c r="O86" s="8" t="n">
        <v>14</v>
      </c>
      <c r="R86" s="5">
        <f>F86*VLOOKUP($E86,Tarifas!$B$5:$F$9,2,0)</f>
        <v/>
      </c>
      <c r="S86" s="5">
        <f>G86*VLOOKUP($E86,Tarifas!$B$5:$F$9,3,0)</f>
        <v/>
      </c>
      <c r="T86" s="5">
        <f>H86*VLOOKUP($E86,Tarifas!$B$5:$F$9,2,0)</f>
        <v/>
      </c>
      <c r="U86" s="5">
        <f>I86*VLOOKUP($E86,Tarifas!$B$5:$F$9,3,0)</f>
        <v/>
      </c>
      <c r="V86" s="5">
        <f>J86*VLOOKUP($E86,Tarifas!$B$5:$F$9,2,0)</f>
        <v/>
      </c>
      <c r="W86" s="5">
        <f>K86*VLOOKUP($E86,Tarifas!$B$5:$F$9,3,0)</f>
        <v/>
      </c>
      <c r="X86" s="5">
        <f>L86*VLOOKUP($E86,Tarifas!$B$5:$F$9,2,0)</f>
        <v/>
      </c>
      <c r="Y86" s="5">
        <f>M86*VLOOKUP($E86,Tarifas!$B$5:$F$9,3,0)</f>
        <v/>
      </c>
      <c r="Z86" s="5">
        <f>N86*VLOOKUP($E86,Tarifas!$B$5:$F$9,2,0)</f>
        <v/>
      </c>
      <c r="AA86" s="5">
        <f>O86*VLOOKUP($E86,Tarifas!$B$5:$F$9,3,0)</f>
        <v/>
      </c>
    </row>
    <row r="87">
      <c r="A87" t="inlineStr">
        <is>
          <t>AI-02</t>
        </is>
      </c>
      <c r="B87" t="inlineStr">
        <is>
          <t>IA indirecta en producto web</t>
        </is>
      </c>
      <c r="C87" t="inlineStr">
        <is>
          <t>ia</t>
        </is>
      </c>
      <c r="D87" t="inlineStr">
        <is>
          <t>Feature IA base (busqueda semantica/recomendador)</t>
        </is>
      </c>
      <c r="E87" t="inlineStr">
        <is>
          <t>RC-AI</t>
        </is>
      </c>
      <c r="F87" s="8" t="n">
        <v>0</v>
      </c>
      <c r="G87" s="8" t="n">
        <v>0</v>
      </c>
      <c r="H87" s="8" t="n">
        <v>10</v>
      </c>
      <c r="I87" s="8" t="n">
        <v>24</v>
      </c>
      <c r="J87" s="8" t="n">
        <v>10</v>
      </c>
      <c r="K87" s="8" t="n">
        <v>24</v>
      </c>
      <c r="L87" s="8" t="n">
        <v>10</v>
      </c>
      <c r="M87" s="8" t="n">
        <v>24</v>
      </c>
      <c r="N87" s="8" t="n">
        <v>10</v>
      </c>
      <c r="O87" s="8" t="n">
        <v>24</v>
      </c>
      <c r="R87" s="5">
        <f>F87*VLOOKUP($E87,Tarifas!$B$5:$F$9,2,0)</f>
        <v/>
      </c>
      <c r="S87" s="5">
        <f>G87*VLOOKUP($E87,Tarifas!$B$5:$F$9,3,0)</f>
        <v/>
      </c>
      <c r="T87" s="5">
        <f>H87*VLOOKUP($E87,Tarifas!$B$5:$F$9,2,0)</f>
        <v/>
      </c>
      <c r="U87" s="5">
        <f>I87*VLOOKUP($E87,Tarifas!$B$5:$F$9,3,0)</f>
        <v/>
      </c>
      <c r="V87" s="5">
        <f>J87*VLOOKUP($E87,Tarifas!$B$5:$F$9,2,0)</f>
        <v/>
      </c>
      <c r="W87" s="5">
        <f>K87*VLOOKUP($E87,Tarifas!$B$5:$F$9,3,0)</f>
        <v/>
      </c>
      <c r="X87" s="5">
        <f>L87*VLOOKUP($E87,Tarifas!$B$5:$F$9,2,0)</f>
        <v/>
      </c>
      <c r="Y87" s="5">
        <f>M87*VLOOKUP($E87,Tarifas!$B$5:$F$9,3,0)</f>
        <v/>
      </c>
      <c r="Z87" s="5">
        <f>N87*VLOOKUP($E87,Tarifas!$B$5:$F$9,2,0)</f>
        <v/>
      </c>
      <c r="AA87" s="5">
        <f>O87*VLOOKUP($E87,Tarifas!$B$5:$F$9,3,0)</f>
        <v/>
      </c>
    </row>
    <row r="88">
      <c r="A88" t="inlineStr">
        <is>
          <t>AI-02</t>
        </is>
      </c>
      <c r="B88" t="inlineStr">
        <is>
          <t>IA indirecta en producto web</t>
        </is>
      </c>
      <c r="C88" t="inlineStr">
        <is>
          <t>ia</t>
        </is>
      </c>
      <c r="D88" t="inlineStr">
        <is>
          <t>Features adicionales integradas</t>
        </is>
      </c>
      <c r="E88" t="inlineStr">
        <is>
          <t>RC-AI</t>
        </is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12</v>
      </c>
      <c r="K88" s="8" t="n">
        <v>30</v>
      </c>
      <c r="L88" s="8" t="n">
        <v>24</v>
      </c>
      <c r="M88" s="8" t="n">
        <v>60</v>
      </c>
      <c r="N88" s="8" t="n">
        <v>30</v>
      </c>
      <c r="O88" s="8" t="n">
        <v>72</v>
      </c>
      <c r="R88" s="5">
        <f>F88*VLOOKUP($E88,Tarifas!$B$5:$F$9,2,0)</f>
        <v/>
      </c>
      <c r="S88" s="5">
        <f>G88*VLOOKUP($E88,Tarifas!$B$5:$F$9,3,0)</f>
        <v/>
      </c>
      <c r="T88" s="5">
        <f>H88*VLOOKUP($E88,Tarifas!$B$5:$F$9,2,0)</f>
        <v/>
      </c>
      <c r="U88" s="5">
        <f>I88*VLOOKUP($E88,Tarifas!$B$5:$F$9,3,0)</f>
        <v/>
      </c>
      <c r="V88" s="5">
        <f>J88*VLOOKUP($E88,Tarifas!$B$5:$F$9,2,0)</f>
        <v/>
      </c>
      <c r="W88" s="5">
        <f>K88*VLOOKUP($E88,Tarifas!$B$5:$F$9,3,0)</f>
        <v/>
      </c>
      <c r="X88" s="5">
        <f>L88*VLOOKUP($E88,Tarifas!$B$5:$F$9,2,0)</f>
        <v/>
      </c>
      <c r="Y88" s="5">
        <f>M88*VLOOKUP($E88,Tarifas!$B$5:$F$9,3,0)</f>
        <v/>
      </c>
      <c r="Z88" s="5">
        <f>N88*VLOOKUP($E88,Tarifas!$B$5:$F$9,2,0)</f>
        <v/>
      </c>
      <c r="AA88" s="5">
        <f>O88*VLOOKUP($E88,Tarifas!$B$5:$F$9,3,0)</f>
        <v/>
      </c>
    </row>
    <row r="89">
      <c r="A89" t="inlineStr">
        <is>
          <t>AI-02</t>
        </is>
      </c>
      <c r="B89" t="inlineStr">
        <is>
          <t>IA indirecta en producto web</t>
        </is>
      </c>
      <c r="C89" t="inlineStr">
        <is>
          <t>ia</t>
        </is>
      </c>
      <c r="D89" t="inlineStr">
        <is>
          <t>Panel de control ligero</t>
        </is>
      </c>
      <c r="E89" t="inlineStr">
        <is>
          <t>RC-AI</t>
        </is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8</v>
      </c>
      <c r="M89" s="8" t="n">
        <v>16</v>
      </c>
      <c r="N89" s="8" t="n">
        <v>10</v>
      </c>
      <c r="O89" s="8" t="n">
        <v>19</v>
      </c>
      <c r="R89" s="5">
        <f>F89*VLOOKUP($E89,Tarifas!$B$5:$F$9,2,0)</f>
        <v/>
      </c>
      <c r="S89" s="5">
        <f>G89*VLOOKUP($E89,Tarifas!$B$5:$F$9,3,0)</f>
        <v/>
      </c>
      <c r="T89" s="5">
        <f>H89*VLOOKUP($E89,Tarifas!$B$5:$F$9,2,0)</f>
        <v/>
      </c>
      <c r="U89" s="5">
        <f>I89*VLOOKUP($E89,Tarifas!$B$5:$F$9,3,0)</f>
        <v/>
      </c>
      <c r="V89" s="5">
        <f>J89*VLOOKUP($E89,Tarifas!$B$5:$F$9,2,0)</f>
        <v/>
      </c>
      <c r="W89" s="5">
        <f>K89*VLOOKUP($E89,Tarifas!$B$5:$F$9,3,0)</f>
        <v/>
      </c>
      <c r="X89" s="5">
        <f>L89*VLOOKUP($E89,Tarifas!$B$5:$F$9,2,0)</f>
        <v/>
      </c>
      <c r="Y89" s="5">
        <f>M89*VLOOKUP($E89,Tarifas!$B$5:$F$9,3,0)</f>
        <v/>
      </c>
      <c r="Z89" s="5">
        <f>N89*VLOOKUP($E89,Tarifas!$B$5:$F$9,2,0)</f>
        <v/>
      </c>
      <c r="AA89" s="5">
        <f>O89*VLOOKUP($E89,Tarifas!$B$5:$F$9,3,0)</f>
        <v/>
      </c>
    </row>
    <row r="90">
      <c r="A90" t="inlineStr">
        <is>
          <t>AI-03</t>
        </is>
      </c>
      <c r="B90" t="inlineStr">
        <is>
          <t>Automatizacion interna con LLM</t>
        </is>
      </c>
      <c r="C90" t="inlineStr">
        <is>
          <t>ia</t>
        </is>
      </c>
      <c r="D90" t="inlineStr">
        <is>
          <t>Discovery fijo del proceso</t>
        </is>
      </c>
      <c r="E90" t="inlineStr">
        <is>
          <t>RC-CON</t>
        </is>
      </c>
      <c r="F90" s="8" t="n">
        <v>0</v>
      </c>
      <c r="G90" s="8" t="n">
        <v>0</v>
      </c>
      <c r="H90" s="8" t="n">
        <v>4</v>
      </c>
      <c r="I90" s="8" t="n">
        <v>8</v>
      </c>
      <c r="J90" s="8" t="n">
        <v>4</v>
      </c>
      <c r="K90" s="8" t="n">
        <v>8</v>
      </c>
      <c r="L90" s="8" t="n">
        <v>8</v>
      </c>
      <c r="M90" s="8" t="n">
        <v>16</v>
      </c>
      <c r="N90" s="8" t="n">
        <v>9</v>
      </c>
      <c r="O90" s="8" t="n">
        <v>18</v>
      </c>
      <c r="R90" s="5">
        <f>F90*VLOOKUP($E90,Tarifas!$B$5:$F$9,2,0)</f>
        <v/>
      </c>
      <c r="S90" s="5">
        <f>G90*VLOOKUP($E90,Tarifas!$B$5:$F$9,3,0)</f>
        <v/>
      </c>
      <c r="T90" s="5">
        <f>H90*VLOOKUP($E90,Tarifas!$B$5:$F$9,2,0)</f>
        <v/>
      </c>
      <c r="U90" s="5">
        <f>I90*VLOOKUP($E90,Tarifas!$B$5:$F$9,3,0)</f>
        <v/>
      </c>
      <c r="V90" s="5">
        <f>J90*VLOOKUP($E90,Tarifas!$B$5:$F$9,2,0)</f>
        <v/>
      </c>
      <c r="W90" s="5">
        <f>K90*VLOOKUP($E90,Tarifas!$B$5:$F$9,3,0)</f>
        <v/>
      </c>
      <c r="X90" s="5">
        <f>L90*VLOOKUP($E90,Tarifas!$B$5:$F$9,2,0)</f>
        <v/>
      </c>
      <c r="Y90" s="5">
        <f>M90*VLOOKUP($E90,Tarifas!$B$5:$F$9,3,0)</f>
        <v/>
      </c>
      <c r="Z90" s="5">
        <f>N90*VLOOKUP($E90,Tarifas!$B$5:$F$9,2,0)</f>
        <v/>
      </c>
      <c r="AA90" s="5">
        <f>O90*VLOOKUP($E90,Tarifas!$B$5:$F$9,3,0)</f>
        <v/>
      </c>
    </row>
    <row r="91">
      <c r="A91" t="inlineStr">
        <is>
          <t>AI-03</t>
        </is>
      </c>
      <c r="B91" t="inlineStr">
        <is>
          <t>Automatizacion interna con LLM</t>
        </is>
      </c>
      <c r="C91" t="inlineStr">
        <is>
          <t>ia</t>
        </is>
      </c>
      <c r="D91" t="inlineStr">
        <is>
          <t>Implementacion workflow(s)</t>
        </is>
      </c>
      <c r="E91" t="inlineStr">
        <is>
          <t>RC-AI</t>
        </is>
      </c>
      <c r="F91" s="8" t="n">
        <v>0</v>
      </c>
      <c r="G91" s="8" t="n">
        <v>0</v>
      </c>
      <c r="H91" s="8" t="n">
        <v>20</v>
      </c>
      <c r="I91" s="8" t="n">
        <v>45</v>
      </c>
      <c r="J91" s="8" t="n">
        <v>45</v>
      </c>
      <c r="K91" s="8" t="n">
        <v>85</v>
      </c>
      <c r="L91" s="8" t="n">
        <v>85</v>
      </c>
      <c r="M91" s="8" t="n">
        <v>150</v>
      </c>
      <c r="N91" s="8" t="n">
        <v>100</v>
      </c>
      <c r="O91" s="8" t="n">
        <v>170</v>
      </c>
      <c r="R91" s="5">
        <f>F91*VLOOKUP($E91,Tarifas!$B$5:$F$9,2,0)</f>
        <v/>
      </c>
      <c r="S91" s="5">
        <f>G91*VLOOKUP($E91,Tarifas!$B$5:$F$9,3,0)</f>
        <v/>
      </c>
      <c r="T91" s="5">
        <f>H91*VLOOKUP($E91,Tarifas!$B$5:$F$9,2,0)</f>
        <v/>
      </c>
      <c r="U91" s="5">
        <f>I91*VLOOKUP($E91,Tarifas!$B$5:$F$9,3,0)</f>
        <v/>
      </c>
      <c r="V91" s="5">
        <f>J91*VLOOKUP($E91,Tarifas!$B$5:$F$9,2,0)</f>
        <v/>
      </c>
      <c r="W91" s="5">
        <f>K91*VLOOKUP($E91,Tarifas!$B$5:$F$9,3,0)</f>
        <v/>
      </c>
      <c r="X91" s="5">
        <f>L91*VLOOKUP($E91,Tarifas!$B$5:$F$9,2,0)</f>
        <v/>
      </c>
      <c r="Y91" s="5">
        <f>M91*VLOOKUP($E91,Tarifas!$B$5:$F$9,3,0)</f>
        <v/>
      </c>
      <c r="Z91" s="5">
        <f>N91*VLOOKUP($E91,Tarifas!$B$5:$F$9,2,0)</f>
        <v/>
      </c>
      <c r="AA91" s="5">
        <f>O91*VLOOKUP($E91,Tarifas!$B$5:$F$9,3,0)</f>
        <v/>
      </c>
    </row>
    <row r="92">
      <c r="A92" t="inlineStr">
        <is>
          <t>AI-03</t>
        </is>
      </c>
      <c r="B92" t="inlineStr">
        <is>
          <t>Automatizacion interna con LLM</t>
        </is>
      </c>
      <c r="C92" t="inlineStr">
        <is>
          <t>ia</t>
        </is>
      </c>
      <c r="D92" t="inlineStr">
        <is>
          <t>Pruebas con datos reales + capacitacion</t>
        </is>
      </c>
      <c r="E92" t="inlineStr">
        <is>
          <t>RC-AI</t>
        </is>
      </c>
      <c r="F92" s="8" t="n">
        <v>0</v>
      </c>
      <c r="G92" s="8" t="n">
        <v>0</v>
      </c>
      <c r="H92" s="8" t="n">
        <v>3</v>
      </c>
      <c r="I92" s="8" t="n">
        <v>6</v>
      </c>
      <c r="J92" s="8" t="n">
        <v>5</v>
      </c>
      <c r="K92" s="8" t="n">
        <v>10</v>
      </c>
      <c r="L92" s="8" t="n">
        <v>8</v>
      </c>
      <c r="M92" s="8" t="n">
        <v>14</v>
      </c>
      <c r="N92" s="8" t="n">
        <v>9</v>
      </c>
      <c r="O92" s="8" t="n">
        <v>16</v>
      </c>
      <c r="R92" s="5">
        <f>F92*VLOOKUP($E92,Tarifas!$B$5:$F$9,2,0)</f>
        <v/>
      </c>
      <c r="S92" s="5">
        <f>G92*VLOOKUP($E92,Tarifas!$B$5:$F$9,3,0)</f>
        <v/>
      </c>
      <c r="T92" s="5">
        <f>H92*VLOOKUP($E92,Tarifas!$B$5:$F$9,2,0)</f>
        <v/>
      </c>
      <c r="U92" s="5">
        <f>I92*VLOOKUP($E92,Tarifas!$B$5:$F$9,3,0)</f>
        <v/>
      </c>
      <c r="V92" s="5">
        <f>J92*VLOOKUP($E92,Tarifas!$B$5:$F$9,2,0)</f>
        <v/>
      </c>
      <c r="W92" s="5">
        <f>K92*VLOOKUP($E92,Tarifas!$B$5:$F$9,3,0)</f>
        <v/>
      </c>
      <c r="X92" s="5">
        <f>L92*VLOOKUP($E92,Tarifas!$B$5:$F$9,2,0)</f>
        <v/>
      </c>
      <c r="Y92" s="5">
        <f>M92*VLOOKUP($E92,Tarifas!$B$5:$F$9,3,0)</f>
        <v/>
      </c>
      <c r="Z92" s="5">
        <f>N92*VLOOKUP($E92,Tarifas!$B$5:$F$9,2,0)</f>
        <v/>
      </c>
      <c r="AA92" s="5">
        <f>O92*VLOOKUP($E92,Tarifas!$B$5:$F$9,3,0)</f>
        <v/>
      </c>
    </row>
    <row r="93">
      <c r="A93" t="inlineStr">
        <is>
          <t>AI-04</t>
        </is>
      </c>
      <c r="B93" t="inlineStr">
        <is>
          <t>Consultoria y auditoria de IA</t>
        </is>
      </c>
      <c r="C93" t="inlineStr">
        <is>
          <t>ia</t>
        </is>
      </c>
      <c r="D93" t="inlineStr">
        <is>
          <t>Auditoria express (1 proceso/departamento)</t>
        </is>
      </c>
      <c r="E93" t="inlineStr">
        <is>
          <t>RC-CON</t>
        </is>
      </c>
      <c r="F93" s="8" t="n">
        <v>8</v>
      </c>
      <c r="G93" s="8" t="n">
        <v>16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R93" s="5">
        <f>F93*VLOOKUP($E93,Tarifas!$B$5:$F$9,2,0)</f>
        <v/>
      </c>
      <c r="S93" s="5">
        <f>G93*VLOOKUP($E93,Tarifas!$B$5:$F$9,3,0)</f>
        <v/>
      </c>
      <c r="T93" s="5">
        <f>H93*VLOOKUP($E93,Tarifas!$B$5:$F$9,2,0)</f>
        <v/>
      </c>
      <c r="U93" s="5">
        <f>I93*VLOOKUP($E93,Tarifas!$B$5:$F$9,3,0)</f>
        <v/>
      </c>
      <c r="V93" s="5">
        <f>J93*VLOOKUP($E93,Tarifas!$B$5:$F$9,2,0)</f>
        <v/>
      </c>
      <c r="W93" s="5">
        <f>K93*VLOOKUP($E93,Tarifas!$B$5:$F$9,3,0)</f>
        <v/>
      </c>
      <c r="X93" s="5">
        <f>L93*VLOOKUP($E93,Tarifas!$B$5:$F$9,2,0)</f>
        <v/>
      </c>
      <c r="Y93" s="5">
        <f>M93*VLOOKUP($E93,Tarifas!$B$5:$F$9,3,0)</f>
        <v/>
      </c>
      <c r="Z93" s="5">
        <f>N93*VLOOKUP($E93,Tarifas!$B$5:$F$9,2,0)</f>
        <v/>
      </c>
      <c r="AA93" s="5">
        <f>O93*VLOOKUP($E93,Tarifas!$B$5:$F$9,3,0)</f>
        <v/>
      </c>
    </row>
    <row r="94">
      <c r="A94" t="inlineStr">
        <is>
          <t>AI-04</t>
        </is>
      </c>
      <c r="B94" t="inlineStr">
        <is>
          <t>Consultoria y auditoria de IA</t>
        </is>
      </c>
      <c r="C94" t="inlineStr">
        <is>
          <t>ia</t>
        </is>
      </c>
      <c r="D94" t="inlineStr">
        <is>
          <t>Auditoria empresa/agencia pequena completa</t>
        </is>
      </c>
      <c r="E94" t="inlineStr">
        <is>
          <t>RC-CON</t>
        </is>
      </c>
      <c r="F94" s="8" t="n">
        <v>0</v>
      </c>
      <c r="G94" s="8" t="n">
        <v>0</v>
      </c>
      <c r="H94" s="8" t="n">
        <v>16</v>
      </c>
      <c r="I94" s="8" t="n">
        <v>32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R94" s="5">
        <f>F94*VLOOKUP($E94,Tarifas!$B$5:$F$9,2,0)</f>
        <v/>
      </c>
      <c r="S94" s="5">
        <f>G94*VLOOKUP($E94,Tarifas!$B$5:$F$9,3,0)</f>
        <v/>
      </c>
      <c r="T94" s="5">
        <f>H94*VLOOKUP($E94,Tarifas!$B$5:$F$9,2,0)</f>
        <v/>
      </c>
      <c r="U94" s="5">
        <f>I94*VLOOKUP($E94,Tarifas!$B$5:$F$9,3,0)</f>
        <v/>
      </c>
      <c r="V94" s="5">
        <f>J94*VLOOKUP($E94,Tarifas!$B$5:$F$9,2,0)</f>
        <v/>
      </c>
      <c r="W94" s="5">
        <f>K94*VLOOKUP($E94,Tarifas!$B$5:$F$9,3,0)</f>
        <v/>
      </c>
      <c r="X94" s="5">
        <f>L94*VLOOKUP($E94,Tarifas!$B$5:$F$9,2,0)</f>
        <v/>
      </c>
      <c r="Y94" s="5">
        <f>M94*VLOOKUP($E94,Tarifas!$B$5:$F$9,3,0)</f>
        <v/>
      </c>
      <c r="Z94" s="5">
        <f>N94*VLOOKUP($E94,Tarifas!$B$5:$F$9,2,0)</f>
        <v/>
      </c>
      <c r="AA94" s="5">
        <f>O94*VLOOKUP($E94,Tarifas!$B$5:$F$9,3,0)</f>
        <v/>
      </c>
    </row>
    <row r="95">
      <c r="A95" t="inlineStr">
        <is>
          <t>AI-04</t>
        </is>
      </c>
      <c r="B95" t="inlineStr">
        <is>
          <t>Consultoria y auditoria de IA</t>
        </is>
      </c>
      <c r="C95" t="inlineStr">
        <is>
          <t>ia</t>
        </is>
      </c>
      <c r="D95" t="inlineStr">
        <is>
          <t>Roadmap + piloto implementado</t>
        </is>
      </c>
      <c r="E95" t="inlineStr">
        <is>
          <t>RC-CON</t>
        </is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24</v>
      </c>
      <c r="K95" s="8" t="n">
        <v>48</v>
      </c>
      <c r="L95" s="8" t="n">
        <v>29</v>
      </c>
      <c r="M95" s="8" t="n">
        <v>57</v>
      </c>
      <c r="N95" s="8" t="n">
        <v>34</v>
      </c>
      <c r="O95" s="8" t="n">
        <v>68</v>
      </c>
      <c r="R95" s="5">
        <f>F95*VLOOKUP($E95,Tarifas!$B$5:$F$9,2,0)</f>
        <v/>
      </c>
      <c r="S95" s="5">
        <f>G95*VLOOKUP($E95,Tarifas!$B$5:$F$9,3,0)</f>
        <v/>
      </c>
      <c r="T95" s="5">
        <f>H95*VLOOKUP($E95,Tarifas!$B$5:$F$9,2,0)</f>
        <v/>
      </c>
      <c r="U95" s="5">
        <f>I95*VLOOKUP($E95,Tarifas!$B$5:$F$9,3,0)</f>
        <v/>
      </c>
      <c r="V95" s="5">
        <f>J95*VLOOKUP($E95,Tarifas!$B$5:$F$9,2,0)</f>
        <v/>
      </c>
      <c r="W95" s="5">
        <f>K95*VLOOKUP($E95,Tarifas!$B$5:$F$9,3,0)</f>
        <v/>
      </c>
      <c r="X95" s="5">
        <f>L95*VLOOKUP($E95,Tarifas!$B$5:$F$9,2,0)</f>
        <v/>
      </c>
      <c r="Y95" s="5">
        <f>M95*VLOOKUP($E95,Tarifas!$B$5:$F$9,3,0)</f>
        <v/>
      </c>
      <c r="Z95" s="5">
        <f>N95*VLOOKUP($E95,Tarifas!$B$5:$F$9,2,0)</f>
        <v/>
      </c>
      <c r="AA95" s="5">
        <f>O95*VLOOKUP($E95,Tarifas!$B$5:$F$9,3,0)</f>
        <v/>
      </c>
    </row>
    <row r="96">
      <c r="A96" t="inlineStr">
        <is>
          <t>VFX-01</t>
        </is>
      </c>
      <c r="B96" t="inlineStr">
        <is>
          <t>Modelo 3D integrado en foto/video real</t>
        </is>
      </c>
      <c r="C96" t="inlineStr">
        <is>
          <t>vfx</t>
        </is>
      </c>
      <c r="D96" t="inlineStr">
        <is>
          <t>Analisis de escena (perspectiva/luz/optica)</t>
        </is>
      </c>
      <c r="E96" t="inlineStr">
        <is>
          <t>RC-ART</t>
        </is>
      </c>
      <c r="F96" s="8" t="n">
        <v>0</v>
      </c>
      <c r="G96" s="8" t="n">
        <v>0</v>
      </c>
      <c r="H96" s="8" t="n">
        <v>1</v>
      </c>
      <c r="I96" s="8" t="n">
        <v>2</v>
      </c>
      <c r="J96" s="8" t="n">
        <v>1.5</v>
      </c>
      <c r="K96" s="8" t="n">
        <v>3</v>
      </c>
      <c r="L96" s="8" t="n">
        <v>2</v>
      </c>
      <c r="M96" s="8" t="n">
        <v>4</v>
      </c>
      <c r="N96" s="8" t="n">
        <v>2.5</v>
      </c>
      <c r="O96" s="8" t="n">
        <v>5</v>
      </c>
      <c r="R96" s="5">
        <f>F96*VLOOKUP($E96,Tarifas!$B$5:$F$9,2,0)</f>
        <v/>
      </c>
      <c r="S96" s="5">
        <f>G96*VLOOKUP($E96,Tarifas!$B$5:$F$9,3,0)</f>
        <v/>
      </c>
      <c r="T96" s="5">
        <f>H96*VLOOKUP($E96,Tarifas!$B$5:$F$9,2,0)</f>
        <v/>
      </c>
      <c r="U96" s="5">
        <f>I96*VLOOKUP($E96,Tarifas!$B$5:$F$9,3,0)</f>
        <v/>
      </c>
      <c r="V96" s="5">
        <f>J96*VLOOKUP($E96,Tarifas!$B$5:$F$9,2,0)</f>
        <v/>
      </c>
      <c r="W96" s="5">
        <f>K96*VLOOKUP($E96,Tarifas!$B$5:$F$9,3,0)</f>
        <v/>
      </c>
      <c r="X96" s="5">
        <f>L96*VLOOKUP($E96,Tarifas!$B$5:$F$9,2,0)</f>
        <v/>
      </c>
      <c r="Y96" s="5">
        <f>M96*VLOOKUP($E96,Tarifas!$B$5:$F$9,3,0)</f>
        <v/>
      </c>
      <c r="Z96" s="5">
        <f>N96*VLOOKUP($E96,Tarifas!$B$5:$F$9,2,0)</f>
        <v/>
      </c>
      <c r="AA96" s="5">
        <f>O96*VLOOKUP($E96,Tarifas!$B$5:$F$9,3,0)</f>
        <v/>
      </c>
    </row>
    <row r="97">
      <c r="A97" t="inlineStr">
        <is>
          <t>VFX-01</t>
        </is>
      </c>
      <c r="B97" t="inlineStr">
        <is>
          <t>Modelo 3D integrado en foto/video real</t>
        </is>
      </c>
      <c r="C97" t="inlineStr">
        <is>
          <t>vfx</t>
        </is>
      </c>
      <c r="D97" t="inlineStr">
        <is>
          <t>Tracking de camara/matchmove</t>
        </is>
      </c>
      <c r="E97" t="inlineStr">
        <is>
          <t>RC-ART</t>
        </is>
      </c>
      <c r="F97" s="8" t="n">
        <v>0</v>
      </c>
      <c r="G97" s="8" t="n">
        <v>0</v>
      </c>
      <c r="H97" s="8" t="n">
        <v>1</v>
      </c>
      <c r="I97" s="8" t="n">
        <v>3</v>
      </c>
      <c r="J97" s="8" t="n">
        <v>3</v>
      </c>
      <c r="K97" s="8" t="n">
        <v>6</v>
      </c>
      <c r="L97" s="8" t="n">
        <v>7</v>
      </c>
      <c r="M97" s="8" t="n">
        <v>14</v>
      </c>
      <c r="N97" s="8" t="n">
        <v>8</v>
      </c>
      <c r="O97" s="8" t="n">
        <v>16</v>
      </c>
      <c r="R97" s="5">
        <f>F97*VLOOKUP($E97,Tarifas!$B$5:$F$9,2,0)</f>
        <v/>
      </c>
      <c r="S97" s="5">
        <f>G97*VLOOKUP($E97,Tarifas!$B$5:$F$9,3,0)</f>
        <v/>
      </c>
      <c r="T97" s="5">
        <f>H97*VLOOKUP($E97,Tarifas!$B$5:$F$9,2,0)</f>
        <v/>
      </c>
      <c r="U97" s="5">
        <f>I97*VLOOKUP($E97,Tarifas!$B$5:$F$9,3,0)</f>
        <v/>
      </c>
      <c r="V97" s="5">
        <f>J97*VLOOKUP($E97,Tarifas!$B$5:$F$9,2,0)</f>
        <v/>
      </c>
      <c r="W97" s="5">
        <f>K97*VLOOKUP($E97,Tarifas!$B$5:$F$9,3,0)</f>
        <v/>
      </c>
      <c r="X97" s="5">
        <f>L97*VLOOKUP($E97,Tarifas!$B$5:$F$9,2,0)</f>
        <v/>
      </c>
      <c r="Y97" s="5">
        <f>M97*VLOOKUP($E97,Tarifas!$B$5:$F$9,3,0)</f>
        <v/>
      </c>
      <c r="Z97" s="5">
        <f>N97*VLOOKUP($E97,Tarifas!$B$5:$F$9,2,0)</f>
        <v/>
      </c>
      <c r="AA97" s="5">
        <f>O97*VLOOKUP($E97,Tarifas!$B$5:$F$9,3,0)</f>
        <v/>
      </c>
    </row>
    <row r="98">
      <c r="A98" t="inlineStr">
        <is>
          <t>VFX-01</t>
        </is>
      </c>
      <c r="B98" t="inlineStr">
        <is>
          <t>Modelo 3D integrado en foto/video real</t>
        </is>
      </c>
      <c r="C98" t="inlineStr">
        <is>
          <t>vfx</t>
        </is>
      </c>
      <c r="D98" t="inlineStr">
        <is>
          <t>Geometria proxy/planos segun escena</t>
        </is>
      </c>
      <c r="E98" t="inlineStr">
        <is>
          <t>RC-ART</t>
        </is>
      </c>
      <c r="F98" s="8" t="n">
        <v>0</v>
      </c>
      <c r="G98" s="8" t="n">
        <v>0</v>
      </c>
      <c r="H98" s="8" t="n">
        <v>1</v>
      </c>
      <c r="I98" s="8" t="n">
        <v>2.5</v>
      </c>
      <c r="J98" s="8" t="n">
        <v>2</v>
      </c>
      <c r="K98" s="8" t="n">
        <v>5</v>
      </c>
      <c r="L98" s="8" t="n">
        <v>4</v>
      </c>
      <c r="M98" s="8" t="n">
        <v>9</v>
      </c>
      <c r="N98" s="8" t="n">
        <v>5</v>
      </c>
      <c r="O98" s="8" t="n">
        <v>10</v>
      </c>
      <c r="R98" s="5">
        <f>F98*VLOOKUP($E98,Tarifas!$B$5:$F$9,2,0)</f>
        <v/>
      </c>
      <c r="S98" s="5">
        <f>G98*VLOOKUP($E98,Tarifas!$B$5:$F$9,3,0)</f>
        <v/>
      </c>
      <c r="T98" s="5">
        <f>H98*VLOOKUP($E98,Tarifas!$B$5:$F$9,2,0)</f>
        <v/>
      </c>
      <c r="U98" s="5">
        <f>I98*VLOOKUP($E98,Tarifas!$B$5:$F$9,3,0)</f>
        <v/>
      </c>
      <c r="V98" s="5">
        <f>J98*VLOOKUP($E98,Tarifas!$B$5:$F$9,2,0)</f>
        <v/>
      </c>
      <c r="W98" s="5">
        <f>K98*VLOOKUP($E98,Tarifas!$B$5:$F$9,3,0)</f>
        <v/>
      </c>
      <c r="X98" s="5">
        <f>L98*VLOOKUP($E98,Tarifas!$B$5:$F$9,2,0)</f>
        <v/>
      </c>
      <c r="Y98" s="5">
        <f>M98*VLOOKUP($E98,Tarifas!$B$5:$F$9,3,0)</f>
        <v/>
      </c>
      <c r="Z98" s="5">
        <f>N98*VLOOKUP($E98,Tarifas!$B$5:$F$9,2,0)</f>
        <v/>
      </c>
      <c r="AA98" s="5">
        <f>O98*VLOOKUP($E98,Tarifas!$B$5:$F$9,3,0)</f>
        <v/>
      </c>
    </row>
    <row r="99">
      <c r="A99" t="inlineStr">
        <is>
          <t>VFX-01</t>
        </is>
      </c>
      <c r="B99" t="inlineStr">
        <is>
          <t>Modelo 3D integrado en foto/video real</t>
        </is>
      </c>
      <c r="C99" t="inlineStr">
        <is>
          <t>vfx</t>
        </is>
      </c>
      <c r="D99" t="inlineStr">
        <is>
          <t>Match iluminacion + sombras/reflejos</t>
        </is>
      </c>
      <c r="E99" t="inlineStr">
        <is>
          <t>RC-ART</t>
        </is>
      </c>
      <c r="F99" s="8" t="n">
        <v>0</v>
      </c>
      <c r="G99" s="8" t="n">
        <v>0</v>
      </c>
      <c r="H99" s="8" t="n">
        <v>1.5</v>
      </c>
      <c r="I99" s="8" t="n">
        <v>3.5</v>
      </c>
      <c r="J99" s="8" t="n">
        <v>3</v>
      </c>
      <c r="K99" s="8" t="n">
        <v>6</v>
      </c>
      <c r="L99" s="8" t="n">
        <v>5</v>
      </c>
      <c r="M99" s="8" t="n">
        <v>11</v>
      </c>
      <c r="N99" s="8" t="n">
        <v>6</v>
      </c>
      <c r="O99" s="8" t="n">
        <v>13</v>
      </c>
      <c r="R99" s="5">
        <f>F99*VLOOKUP($E99,Tarifas!$B$5:$F$9,2,0)</f>
        <v/>
      </c>
      <c r="S99" s="5">
        <f>G99*VLOOKUP($E99,Tarifas!$B$5:$F$9,3,0)</f>
        <v/>
      </c>
      <c r="T99" s="5">
        <f>H99*VLOOKUP($E99,Tarifas!$B$5:$F$9,2,0)</f>
        <v/>
      </c>
      <c r="U99" s="5">
        <f>I99*VLOOKUP($E99,Tarifas!$B$5:$F$9,3,0)</f>
        <v/>
      </c>
      <c r="V99" s="5">
        <f>J99*VLOOKUP($E99,Tarifas!$B$5:$F$9,2,0)</f>
        <v/>
      </c>
      <c r="W99" s="5">
        <f>K99*VLOOKUP($E99,Tarifas!$B$5:$F$9,3,0)</f>
        <v/>
      </c>
      <c r="X99" s="5">
        <f>L99*VLOOKUP($E99,Tarifas!$B$5:$F$9,2,0)</f>
        <v/>
      </c>
      <c r="Y99" s="5">
        <f>M99*VLOOKUP($E99,Tarifas!$B$5:$F$9,3,0)</f>
        <v/>
      </c>
      <c r="Z99" s="5">
        <f>N99*VLOOKUP($E99,Tarifas!$B$5:$F$9,2,0)</f>
        <v/>
      </c>
      <c r="AA99" s="5">
        <f>O99*VLOOKUP($E99,Tarifas!$B$5:$F$9,3,0)</f>
        <v/>
      </c>
    </row>
    <row r="100">
      <c r="A100" t="inlineStr">
        <is>
          <t>VFX-01</t>
        </is>
      </c>
      <c r="B100" t="inlineStr">
        <is>
          <t>Modelo 3D integrado en foto/video real</t>
        </is>
      </c>
      <c r="C100" t="inlineStr">
        <is>
          <t>vfx</t>
        </is>
      </c>
      <c r="D100" t="inlineStr">
        <is>
          <t>Render elemento 3D + passes</t>
        </is>
      </c>
      <c r="E100" t="inlineStr">
        <is>
          <t>RC-ART</t>
        </is>
      </c>
      <c r="F100" s="8" t="n">
        <v>0</v>
      </c>
      <c r="G100" s="8" t="n">
        <v>0</v>
      </c>
      <c r="H100" s="8" t="n">
        <v>0.5</v>
      </c>
      <c r="I100" s="8" t="n">
        <v>1.5</v>
      </c>
      <c r="J100" s="8" t="n">
        <v>1.5</v>
      </c>
      <c r="K100" s="8" t="n">
        <v>4</v>
      </c>
      <c r="L100" s="8" t="n">
        <v>3</v>
      </c>
      <c r="M100" s="8" t="n">
        <v>8</v>
      </c>
      <c r="N100" s="8" t="n">
        <v>4</v>
      </c>
      <c r="O100" s="8" t="n">
        <v>9</v>
      </c>
      <c r="R100" s="5">
        <f>F100*VLOOKUP($E100,Tarifas!$B$5:$F$9,2,0)</f>
        <v/>
      </c>
      <c r="S100" s="5">
        <f>G100*VLOOKUP($E100,Tarifas!$B$5:$F$9,3,0)</f>
        <v/>
      </c>
      <c r="T100" s="5">
        <f>H100*VLOOKUP($E100,Tarifas!$B$5:$F$9,2,0)</f>
        <v/>
      </c>
      <c r="U100" s="5">
        <f>I100*VLOOKUP($E100,Tarifas!$B$5:$F$9,3,0)</f>
        <v/>
      </c>
      <c r="V100" s="5">
        <f>J100*VLOOKUP($E100,Tarifas!$B$5:$F$9,2,0)</f>
        <v/>
      </c>
      <c r="W100" s="5">
        <f>K100*VLOOKUP($E100,Tarifas!$B$5:$F$9,3,0)</f>
        <v/>
      </c>
      <c r="X100" s="5">
        <f>L100*VLOOKUP($E100,Tarifas!$B$5:$F$9,2,0)</f>
        <v/>
      </c>
      <c r="Y100" s="5">
        <f>M100*VLOOKUP($E100,Tarifas!$B$5:$F$9,3,0)</f>
        <v/>
      </c>
      <c r="Z100" s="5">
        <f>N100*VLOOKUP($E100,Tarifas!$B$5:$F$9,2,0)</f>
        <v/>
      </c>
      <c r="AA100" s="5">
        <f>O100*VLOOKUP($E100,Tarifas!$B$5:$F$9,3,0)</f>
        <v/>
      </c>
    </row>
    <row r="101">
      <c r="A101" t="inlineStr">
        <is>
          <t>VFX-01</t>
        </is>
      </c>
      <c r="B101" t="inlineStr">
        <is>
          <t>Modelo 3D integrado en foto/video real</t>
        </is>
      </c>
      <c r="C101" t="inlineStr">
        <is>
          <t>vfx</t>
        </is>
      </c>
      <c r="D101" t="inlineStr">
        <is>
          <t>Compositing (grain/color match/motion blur)</t>
        </is>
      </c>
      <c r="E101" t="inlineStr">
        <is>
          <t>RC-ART</t>
        </is>
      </c>
      <c r="F101" s="8" t="n">
        <v>0</v>
      </c>
      <c r="G101" s="8" t="n">
        <v>0</v>
      </c>
      <c r="H101" s="8" t="n">
        <v>1</v>
      </c>
      <c r="I101" s="8" t="n">
        <v>3</v>
      </c>
      <c r="J101" s="8" t="n">
        <v>2</v>
      </c>
      <c r="K101" s="8" t="n">
        <v>4</v>
      </c>
      <c r="L101" s="8" t="n">
        <v>3</v>
      </c>
      <c r="M101" s="8" t="n">
        <v>7</v>
      </c>
      <c r="N101" s="8" t="n">
        <v>4</v>
      </c>
      <c r="O101" s="8" t="n">
        <v>8</v>
      </c>
      <c r="R101" s="5">
        <f>F101*VLOOKUP($E101,Tarifas!$B$5:$F$9,2,0)</f>
        <v/>
      </c>
      <c r="S101" s="5">
        <f>G101*VLOOKUP($E101,Tarifas!$B$5:$F$9,3,0)</f>
        <v/>
      </c>
      <c r="T101" s="5">
        <f>H101*VLOOKUP($E101,Tarifas!$B$5:$F$9,2,0)</f>
        <v/>
      </c>
      <c r="U101" s="5">
        <f>I101*VLOOKUP($E101,Tarifas!$B$5:$F$9,3,0)</f>
        <v/>
      </c>
      <c r="V101" s="5">
        <f>J101*VLOOKUP($E101,Tarifas!$B$5:$F$9,2,0)</f>
        <v/>
      </c>
      <c r="W101" s="5">
        <f>K101*VLOOKUP($E101,Tarifas!$B$5:$F$9,3,0)</f>
        <v/>
      </c>
      <c r="X101" s="5">
        <f>L101*VLOOKUP($E101,Tarifas!$B$5:$F$9,2,0)</f>
        <v/>
      </c>
      <c r="Y101" s="5">
        <f>M101*VLOOKUP($E101,Tarifas!$B$5:$F$9,3,0)</f>
        <v/>
      </c>
      <c r="Z101" s="5">
        <f>N101*VLOOKUP($E101,Tarifas!$B$5:$F$9,2,0)</f>
        <v/>
      </c>
      <c r="AA101" s="5">
        <f>O101*VLOOKUP($E101,Tarifas!$B$5:$F$9,3,0)</f>
        <v/>
      </c>
    </row>
    <row r="102">
      <c r="A102" t="inlineStr">
        <is>
          <t>VFX-02</t>
        </is>
      </c>
      <c r="B102" t="inlineStr">
        <is>
          <t>FX puro (simulaciones video)</t>
        </is>
      </c>
      <c r="C102" t="inlineStr">
        <is>
          <t>vfx</t>
        </is>
      </c>
      <c r="D102" t="inlineStr">
        <is>
          <t>FX basico (chispas/polvo/humo ligero)</t>
        </is>
      </c>
      <c r="E102" t="inlineStr">
        <is>
          <t>RC-ART</t>
        </is>
      </c>
      <c r="F102" s="8" t="n">
        <v>6</v>
      </c>
      <c r="G102" s="8" t="n">
        <v>14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</v>
      </c>
      <c r="R102" s="5">
        <f>F102*VLOOKUP($E102,Tarifas!$B$5:$F$9,2,0)</f>
        <v/>
      </c>
      <c r="S102" s="5">
        <f>G102*VLOOKUP($E102,Tarifas!$B$5:$F$9,3,0)</f>
        <v/>
      </c>
      <c r="T102" s="5">
        <f>H102*VLOOKUP($E102,Tarifas!$B$5:$F$9,2,0)</f>
        <v/>
      </c>
      <c r="U102" s="5">
        <f>I102*VLOOKUP($E102,Tarifas!$B$5:$F$9,3,0)</f>
        <v/>
      </c>
      <c r="V102" s="5">
        <f>J102*VLOOKUP($E102,Tarifas!$B$5:$F$9,2,0)</f>
        <v/>
      </c>
      <c r="W102" s="5">
        <f>K102*VLOOKUP($E102,Tarifas!$B$5:$F$9,3,0)</f>
        <v/>
      </c>
      <c r="X102" s="5">
        <f>L102*VLOOKUP($E102,Tarifas!$B$5:$F$9,2,0)</f>
        <v/>
      </c>
      <c r="Y102" s="5">
        <f>M102*VLOOKUP($E102,Tarifas!$B$5:$F$9,3,0)</f>
        <v/>
      </c>
      <c r="Z102" s="5">
        <f>N102*VLOOKUP($E102,Tarifas!$B$5:$F$9,2,0)</f>
        <v/>
      </c>
      <c r="AA102" s="5">
        <f>O102*VLOOKUP($E102,Tarifas!$B$5:$F$9,3,0)</f>
        <v/>
      </c>
    </row>
    <row r="103">
      <c r="A103" t="inlineStr">
        <is>
          <t>VFX-02</t>
        </is>
      </c>
      <c r="B103" t="inlineStr">
        <is>
          <t>FX puro (simulaciones video)</t>
        </is>
      </c>
      <c r="C103" t="inlineStr">
        <is>
          <t>vfx</t>
        </is>
      </c>
      <c r="D103" t="inlineStr">
        <is>
          <t>FX medio (humo denso/liquido simple/telas)</t>
        </is>
      </c>
      <c r="E103" t="inlineStr">
        <is>
          <t>RC-ART</t>
        </is>
      </c>
      <c r="F103" s="8" t="n">
        <v>0</v>
      </c>
      <c r="G103" s="8" t="n">
        <v>0</v>
      </c>
      <c r="H103" s="8" t="n">
        <v>14</v>
      </c>
      <c r="I103" s="8" t="n">
        <v>35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R103" s="5">
        <f>F103*VLOOKUP($E103,Tarifas!$B$5:$F$9,2,0)</f>
        <v/>
      </c>
      <c r="S103" s="5">
        <f>G103*VLOOKUP($E103,Tarifas!$B$5:$F$9,3,0)</f>
        <v/>
      </c>
      <c r="T103" s="5">
        <f>H103*VLOOKUP($E103,Tarifas!$B$5:$F$9,2,0)</f>
        <v/>
      </c>
      <c r="U103" s="5">
        <f>I103*VLOOKUP($E103,Tarifas!$B$5:$F$9,3,0)</f>
        <v/>
      </c>
      <c r="V103" s="5">
        <f>J103*VLOOKUP($E103,Tarifas!$B$5:$F$9,2,0)</f>
        <v/>
      </c>
      <c r="W103" s="5">
        <f>K103*VLOOKUP($E103,Tarifas!$B$5:$F$9,3,0)</f>
        <v/>
      </c>
      <c r="X103" s="5">
        <f>L103*VLOOKUP($E103,Tarifas!$B$5:$F$9,2,0)</f>
        <v/>
      </c>
      <c r="Y103" s="5">
        <f>M103*VLOOKUP($E103,Tarifas!$B$5:$F$9,3,0)</f>
        <v/>
      </c>
      <c r="Z103" s="5">
        <f>N103*VLOOKUP($E103,Tarifas!$B$5:$F$9,2,0)</f>
        <v/>
      </c>
      <c r="AA103" s="5">
        <f>O103*VLOOKUP($E103,Tarifas!$B$5:$F$9,3,0)</f>
        <v/>
      </c>
    </row>
    <row r="104">
      <c r="A104" t="inlineStr">
        <is>
          <t>VFX-02</t>
        </is>
      </c>
      <c r="B104" t="inlineStr">
        <is>
          <t>FX puro (simulaciones video)</t>
        </is>
      </c>
      <c r="C104" t="inlineStr">
        <is>
          <t>vfx</t>
        </is>
      </c>
      <c r="D104" t="inlineStr">
        <is>
          <t>FX pesado (fluido hero/destruccion estructural)</t>
        </is>
      </c>
      <c r="E104" t="inlineStr">
        <is>
          <t>RC-ART</t>
        </is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35</v>
      </c>
      <c r="K104" s="8" t="n">
        <v>80</v>
      </c>
      <c r="L104" s="8" t="n">
        <v>42</v>
      </c>
      <c r="M104" s="8" t="n">
        <v>96</v>
      </c>
      <c r="N104" s="8" t="n">
        <v>50</v>
      </c>
      <c r="O104" s="8" t="n">
        <v>112</v>
      </c>
      <c r="R104" s="5">
        <f>F104*VLOOKUP($E104,Tarifas!$B$5:$F$9,2,0)</f>
        <v/>
      </c>
      <c r="S104" s="5">
        <f>G104*VLOOKUP($E104,Tarifas!$B$5:$F$9,3,0)</f>
        <v/>
      </c>
      <c r="T104" s="5">
        <f>H104*VLOOKUP($E104,Tarifas!$B$5:$F$9,2,0)</f>
        <v/>
      </c>
      <c r="U104" s="5">
        <f>I104*VLOOKUP($E104,Tarifas!$B$5:$F$9,3,0)</f>
        <v/>
      </c>
      <c r="V104" s="5">
        <f>J104*VLOOKUP($E104,Tarifas!$B$5:$F$9,2,0)</f>
        <v/>
      </c>
      <c r="W104" s="5">
        <f>K104*VLOOKUP($E104,Tarifas!$B$5:$F$9,3,0)</f>
        <v/>
      </c>
      <c r="X104" s="5">
        <f>L104*VLOOKUP($E104,Tarifas!$B$5:$F$9,2,0)</f>
        <v/>
      </c>
      <c r="Y104" s="5">
        <f>M104*VLOOKUP($E104,Tarifas!$B$5:$F$9,3,0)</f>
        <v/>
      </c>
      <c r="Z104" s="5">
        <f>N104*VLOOKUP($E104,Tarifas!$B$5:$F$9,2,0)</f>
        <v/>
      </c>
      <c r="AA104" s="5">
        <f>O104*VLOOKUP($E104,Tarifas!$B$5:$F$9,3,0)</f>
        <v/>
      </c>
    </row>
    <row r="105">
      <c r="A105" t="inlineStr">
        <is>
          <t>VFX-03</t>
        </is>
      </c>
      <c r="B105" t="inlineStr">
        <is>
          <t>Motion graphics 3D</t>
        </is>
      </c>
      <c r="C105" t="inlineStr">
        <is>
          <t>vfx</t>
        </is>
      </c>
      <c r="D105" t="inlineStr">
        <is>
          <t>Logo reveal (&lt;=5s, 1 estilo)</t>
        </is>
      </c>
      <c r="E105" t="inlineStr">
        <is>
          <t>RC-ART</t>
        </is>
      </c>
      <c r="F105" s="8" t="n">
        <v>0</v>
      </c>
      <c r="G105" s="8" t="n">
        <v>0</v>
      </c>
      <c r="H105" s="8" t="n">
        <v>4</v>
      </c>
      <c r="I105" s="8" t="n">
        <v>8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R105" s="5">
        <f>F105*VLOOKUP($E105,Tarifas!$B$5:$F$9,2,0)</f>
        <v/>
      </c>
      <c r="S105" s="5">
        <f>G105*VLOOKUP($E105,Tarifas!$B$5:$F$9,3,0)</f>
        <v/>
      </c>
      <c r="T105" s="5">
        <f>H105*VLOOKUP($E105,Tarifas!$B$5:$F$9,2,0)</f>
        <v/>
      </c>
      <c r="U105" s="5">
        <f>I105*VLOOKUP($E105,Tarifas!$B$5:$F$9,3,0)</f>
        <v/>
      </c>
      <c r="V105" s="5">
        <f>J105*VLOOKUP($E105,Tarifas!$B$5:$F$9,2,0)</f>
        <v/>
      </c>
      <c r="W105" s="5">
        <f>K105*VLOOKUP($E105,Tarifas!$B$5:$F$9,3,0)</f>
        <v/>
      </c>
      <c r="X105" s="5">
        <f>L105*VLOOKUP($E105,Tarifas!$B$5:$F$9,2,0)</f>
        <v/>
      </c>
      <c r="Y105" s="5">
        <f>M105*VLOOKUP($E105,Tarifas!$B$5:$F$9,3,0)</f>
        <v/>
      </c>
      <c r="Z105" s="5">
        <f>N105*VLOOKUP($E105,Tarifas!$B$5:$F$9,2,0)</f>
        <v/>
      </c>
      <c r="AA105" s="5">
        <f>O105*VLOOKUP($E105,Tarifas!$B$5:$F$9,3,0)</f>
        <v/>
      </c>
    </row>
    <row r="106">
      <c r="A106" t="inlineStr">
        <is>
          <t>VFX-03</t>
        </is>
      </c>
      <c r="B106" t="inlineStr">
        <is>
          <t>Motion graphics 3D</t>
        </is>
      </c>
      <c r="C106" t="inlineStr">
        <is>
          <t>vfx</t>
        </is>
      </c>
      <c r="D106" t="inlineStr">
        <is>
          <t>Set editorial (lowers/transitions/bumpers)</t>
        </is>
      </c>
      <c r="E106" t="inlineStr">
        <is>
          <t>RC-ART</t>
        </is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8</v>
      </c>
      <c r="K106" s="8" t="n">
        <v>16</v>
      </c>
      <c r="L106" s="8" t="n">
        <v>0</v>
      </c>
      <c r="M106" s="8" t="n">
        <v>0</v>
      </c>
      <c r="N106" s="8" t="n">
        <v>0</v>
      </c>
      <c r="O106" s="8" t="n">
        <v>0</v>
      </c>
      <c r="R106" s="5">
        <f>F106*VLOOKUP($E106,Tarifas!$B$5:$F$9,2,0)</f>
        <v/>
      </c>
      <c r="S106" s="5">
        <f>G106*VLOOKUP($E106,Tarifas!$B$5:$F$9,3,0)</f>
        <v/>
      </c>
      <c r="T106" s="5">
        <f>H106*VLOOKUP($E106,Tarifas!$B$5:$F$9,2,0)</f>
        <v/>
      </c>
      <c r="U106" s="5">
        <f>I106*VLOOKUP($E106,Tarifas!$B$5:$F$9,3,0)</f>
        <v/>
      </c>
      <c r="V106" s="5">
        <f>J106*VLOOKUP($E106,Tarifas!$B$5:$F$9,2,0)</f>
        <v/>
      </c>
      <c r="W106" s="5">
        <f>K106*VLOOKUP($E106,Tarifas!$B$5:$F$9,3,0)</f>
        <v/>
      </c>
      <c r="X106" s="5">
        <f>L106*VLOOKUP($E106,Tarifas!$B$5:$F$9,2,0)</f>
        <v/>
      </c>
      <c r="Y106" s="5">
        <f>M106*VLOOKUP($E106,Tarifas!$B$5:$F$9,3,0)</f>
        <v/>
      </c>
      <c r="Z106" s="5">
        <f>N106*VLOOKUP($E106,Tarifas!$B$5:$F$9,2,0)</f>
        <v/>
      </c>
      <c r="AA106" s="5">
        <f>O106*VLOOKUP($E106,Tarifas!$B$5:$F$9,3,0)</f>
        <v/>
      </c>
    </row>
    <row r="107">
      <c r="A107" t="inlineStr">
        <is>
          <t>VFX-03</t>
        </is>
      </c>
      <c r="B107" t="inlineStr">
        <is>
          <t>Motion graphics 3D</t>
        </is>
      </c>
      <c r="C107" t="inlineStr">
        <is>
          <t>vfx</t>
        </is>
      </c>
      <c r="D107" t="inlineStr">
        <is>
          <t>Branding animado completo + plantilla</t>
        </is>
      </c>
      <c r="E107" t="inlineStr">
        <is>
          <t>RC-ART</t>
        </is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18</v>
      </c>
      <c r="M107" s="8" t="n">
        <v>40</v>
      </c>
      <c r="N107" s="8" t="n">
        <v>22</v>
      </c>
      <c r="O107" s="8" t="n">
        <v>48</v>
      </c>
      <c r="R107" s="5">
        <f>F107*VLOOKUP($E107,Tarifas!$B$5:$F$9,2,0)</f>
        <v/>
      </c>
      <c r="S107" s="5">
        <f>G107*VLOOKUP($E107,Tarifas!$B$5:$F$9,3,0)</f>
        <v/>
      </c>
      <c r="T107" s="5">
        <f>H107*VLOOKUP($E107,Tarifas!$B$5:$F$9,2,0)</f>
        <v/>
      </c>
      <c r="U107" s="5">
        <f>I107*VLOOKUP($E107,Tarifas!$B$5:$F$9,3,0)</f>
        <v/>
      </c>
      <c r="V107" s="5">
        <f>J107*VLOOKUP($E107,Tarifas!$B$5:$F$9,2,0)</f>
        <v/>
      </c>
      <c r="W107" s="5">
        <f>K107*VLOOKUP($E107,Tarifas!$B$5:$F$9,3,0)</f>
        <v/>
      </c>
      <c r="X107" s="5">
        <f>L107*VLOOKUP($E107,Tarifas!$B$5:$F$9,2,0)</f>
        <v/>
      </c>
      <c r="Y107" s="5">
        <f>M107*VLOOKUP($E107,Tarifas!$B$5:$F$9,3,0)</f>
        <v/>
      </c>
      <c r="Z107" s="5">
        <f>N107*VLOOKUP($E107,Tarifas!$B$5:$F$9,2,0)</f>
        <v/>
      </c>
      <c r="AA107" s="5">
        <f>O107*VLOOKUP($E107,Tarifas!$B$5:$F$9,3,0)</f>
        <v/>
      </c>
    </row>
    <row r="108">
      <c r="A108" t="inlineStr">
        <is>
          <t>TEX-01</t>
        </is>
      </c>
      <c r="B108" t="inlineStr">
        <is>
          <t>Generacion de texturas y mapas</t>
        </is>
      </c>
      <c r="C108" t="inlineStr">
        <is>
          <t>texturas</t>
        </is>
      </c>
      <c r="D108" t="inlineStr">
        <is>
          <t>Set tileable S (material limpio simple)</t>
        </is>
      </c>
      <c r="E108" t="inlineStr">
        <is>
          <t>RC-RTA</t>
        </is>
      </c>
      <c r="F108" s="8" t="n">
        <v>0</v>
      </c>
      <c r="G108" s="8" t="n">
        <v>0</v>
      </c>
      <c r="H108" s="8" t="n">
        <v>2</v>
      </c>
      <c r="I108" s="8" t="n">
        <v>5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R108" s="5">
        <f>F108*VLOOKUP($E108,Tarifas!$B$5:$F$9,2,0)</f>
        <v/>
      </c>
      <c r="S108" s="5">
        <f>G108*VLOOKUP($E108,Tarifas!$B$5:$F$9,3,0)</f>
        <v/>
      </c>
      <c r="T108" s="5">
        <f>H108*VLOOKUP($E108,Tarifas!$B$5:$F$9,2,0)</f>
        <v/>
      </c>
      <c r="U108" s="5">
        <f>I108*VLOOKUP($E108,Tarifas!$B$5:$F$9,3,0)</f>
        <v/>
      </c>
      <c r="V108" s="5">
        <f>J108*VLOOKUP($E108,Tarifas!$B$5:$F$9,2,0)</f>
        <v/>
      </c>
      <c r="W108" s="5">
        <f>K108*VLOOKUP($E108,Tarifas!$B$5:$F$9,3,0)</f>
        <v/>
      </c>
      <c r="X108" s="5">
        <f>L108*VLOOKUP($E108,Tarifas!$B$5:$F$9,2,0)</f>
        <v/>
      </c>
      <c r="Y108" s="5">
        <f>M108*VLOOKUP($E108,Tarifas!$B$5:$F$9,3,0)</f>
        <v/>
      </c>
      <c r="Z108" s="5">
        <f>N108*VLOOKUP($E108,Tarifas!$B$5:$F$9,2,0)</f>
        <v/>
      </c>
      <c r="AA108" s="5">
        <f>O108*VLOOKUP($E108,Tarifas!$B$5:$F$9,3,0)</f>
        <v/>
      </c>
    </row>
    <row r="109">
      <c r="A109" t="inlineStr">
        <is>
          <t>TEX-01</t>
        </is>
      </c>
      <c r="B109" t="inlineStr">
        <is>
          <t>Generacion de texturas y mapas</t>
        </is>
      </c>
      <c r="C109" t="inlineStr">
        <is>
          <t>texturas</t>
        </is>
      </c>
      <c r="D109" t="inlineStr">
        <is>
          <t>Set tileable M (variaciones/desgaste moderado)</t>
        </is>
      </c>
      <c r="E109" t="inlineStr">
        <is>
          <t>RC-RTA</t>
        </is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5</v>
      </c>
      <c r="K109" s="8" t="n">
        <v>10</v>
      </c>
      <c r="L109" s="8" t="n">
        <v>0</v>
      </c>
      <c r="M109" s="8" t="n">
        <v>0</v>
      </c>
      <c r="N109" s="8" t="n">
        <v>0</v>
      </c>
      <c r="O109" s="8" t="n">
        <v>0</v>
      </c>
      <c r="R109" s="5">
        <f>F109*VLOOKUP($E109,Tarifas!$B$5:$F$9,2,0)</f>
        <v/>
      </c>
      <c r="S109" s="5">
        <f>G109*VLOOKUP($E109,Tarifas!$B$5:$F$9,3,0)</f>
        <v/>
      </c>
      <c r="T109" s="5">
        <f>H109*VLOOKUP($E109,Tarifas!$B$5:$F$9,2,0)</f>
        <v/>
      </c>
      <c r="U109" s="5">
        <f>I109*VLOOKUP($E109,Tarifas!$B$5:$F$9,3,0)</f>
        <v/>
      </c>
      <c r="V109" s="5">
        <f>J109*VLOOKUP($E109,Tarifas!$B$5:$F$9,2,0)</f>
        <v/>
      </c>
      <c r="W109" s="5">
        <f>K109*VLOOKUP($E109,Tarifas!$B$5:$F$9,3,0)</f>
        <v/>
      </c>
      <c r="X109" s="5">
        <f>L109*VLOOKUP($E109,Tarifas!$B$5:$F$9,2,0)</f>
        <v/>
      </c>
      <c r="Y109" s="5">
        <f>M109*VLOOKUP($E109,Tarifas!$B$5:$F$9,3,0)</f>
        <v/>
      </c>
      <c r="Z109" s="5">
        <f>N109*VLOOKUP($E109,Tarifas!$B$5:$F$9,2,0)</f>
        <v/>
      </c>
      <c r="AA109" s="5">
        <f>O109*VLOOKUP($E109,Tarifas!$B$5:$F$9,3,0)</f>
        <v/>
      </c>
    </row>
    <row r="110">
      <c r="A110" t="inlineStr">
        <is>
          <t>TEX-01</t>
        </is>
      </c>
      <c r="B110" t="inlineStr">
        <is>
          <t>Generacion de texturas y mapas</t>
        </is>
      </c>
      <c r="C110" t="inlineStr">
        <is>
          <t>texturas</t>
        </is>
      </c>
      <c r="D110" t="inlineStr">
        <is>
          <t>Set procedural parametrico (exposables en motor)</t>
        </is>
      </c>
      <c r="E110" t="inlineStr">
        <is>
          <t>RC-RTA</t>
        </is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10</v>
      </c>
      <c r="M110" s="8" t="n">
        <v>20</v>
      </c>
      <c r="N110" s="8" t="n">
        <v>12</v>
      </c>
      <c r="O110" s="8" t="n">
        <v>24</v>
      </c>
      <c r="R110" s="5">
        <f>F110*VLOOKUP($E110,Tarifas!$B$5:$F$9,2,0)</f>
        <v/>
      </c>
      <c r="S110" s="5">
        <f>G110*VLOOKUP($E110,Tarifas!$B$5:$F$9,3,0)</f>
        <v/>
      </c>
      <c r="T110" s="5">
        <f>H110*VLOOKUP($E110,Tarifas!$B$5:$F$9,2,0)</f>
        <v/>
      </c>
      <c r="U110" s="5">
        <f>I110*VLOOKUP($E110,Tarifas!$B$5:$F$9,3,0)</f>
        <v/>
      </c>
      <c r="V110" s="5">
        <f>J110*VLOOKUP($E110,Tarifas!$B$5:$F$9,2,0)</f>
        <v/>
      </c>
      <c r="W110" s="5">
        <f>K110*VLOOKUP($E110,Tarifas!$B$5:$F$9,3,0)</f>
        <v/>
      </c>
      <c r="X110" s="5">
        <f>L110*VLOOKUP($E110,Tarifas!$B$5:$F$9,2,0)</f>
        <v/>
      </c>
      <c r="Y110" s="5">
        <f>M110*VLOOKUP($E110,Tarifas!$B$5:$F$9,3,0)</f>
        <v/>
      </c>
      <c r="Z110" s="5">
        <f>N110*VLOOKUP($E110,Tarifas!$B$5:$F$9,2,0)</f>
        <v/>
      </c>
      <c r="AA110" s="5">
        <f>O110*VLOOKUP($E110,Tarifas!$B$5:$F$9,3,0)</f>
        <v/>
      </c>
    </row>
    <row r="111">
      <c r="A111" t="inlineStr">
        <is>
          <t>TEX-01</t>
        </is>
      </c>
      <c r="B111" t="inlineStr">
        <is>
          <t>Generacion de texturas y mapas</t>
        </is>
      </c>
      <c r="C111" t="inlineStr">
        <is>
          <t>texturas</t>
        </is>
      </c>
      <c r="D111" t="inlineStr">
        <is>
          <t>Texturizado asset completo (segun n materiales)</t>
        </is>
      </c>
      <c r="E111" t="inlineStr">
        <is>
          <t>RC-RTA</t>
        </is>
      </c>
      <c r="F111" s="8" t="n">
        <v>0</v>
      </c>
      <c r="G111" s="8" t="n">
        <v>0</v>
      </c>
      <c r="H111" s="8" t="n">
        <v>3</v>
      </c>
      <c r="I111" s="8" t="n">
        <v>8</v>
      </c>
      <c r="J111" s="8" t="n">
        <v>8</v>
      </c>
      <c r="K111" s="8" t="n">
        <v>20</v>
      </c>
      <c r="L111" s="8" t="n">
        <v>20</v>
      </c>
      <c r="M111" s="8" t="n">
        <v>45</v>
      </c>
      <c r="N111" s="8" t="n">
        <v>24</v>
      </c>
      <c r="O111" s="8" t="n">
        <v>54</v>
      </c>
      <c r="R111" s="5">
        <f>F111*VLOOKUP($E111,Tarifas!$B$5:$F$9,2,0)</f>
        <v/>
      </c>
      <c r="S111" s="5">
        <f>G111*VLOOKUP($E111,Tarifas!$B$5:$F$9,3,0)</f>
        <v/>
      </c>
      <c r="T111" s="5">
        <f>H111*VLOOKUP($E111,Tarifas!$B$5:$F$9,2,0)</f>
        <v/>
      </c>
      <c r="U111" s="5">
        <f>I111*VLOOKUP($E111,Tarifas!$B$5:$F$9,3,0)</f>
        <v/>
      </c>
      <c r="V111" s="5">
        <f>J111*VLOOKUP($E111,Tarifas!$B$5:$F$9,2,0)</f>
        <v/>
      </c>
      <c r="W111" s="5">
        <f>K111*VLOOKUP($E111,Tarifas!$B$5:$F$9,3,0)</f>
        <v/>
      </c>
      <c r="X111" s="5">
        <f>L111*VLOOKUP($E111,Tarifas!$B$5:$F$9,2,0)</f>
        <v/>
      </c>
      <c r="Y111" s="5">
        <f>M111*VLOOKUP($E111,Tarifas!$B$5:$F$9,3,0)</f>
        <v/>
      </c>
      <c r="Z111" s="5">
        <f>N111*VLOOKUP($E111,Tarifas!$B$5:$F$9,2,0)</f>
        <v/>
      </c>
      <c r="AA111" s="5">
        <f>O111*VLOOKUP($E111,Tarifas!$B$5:$F$9,3,0)</f>
        <v/>
      </c>
    </row>
    <row r="112">
      <c r="A112" t="inlineStr">
        <is>
          <t>TEX-01</t>
        </is>
      </c>
      <c r="B112" t="inlineStr">
        <is>
          <t>Generacion de texturas y mapas</t>
        </is>
      </c>
      <c r="C112" t="inlineStr">
        <is>
          <t>texturas</t>
        </is>
      </c>
      <c r="D112" t="inlineStr">
        <is>
          <t>Baking standalone high-&gt;low</t>
        </is>
      </c>
      <c r="E112" t="inlineStr">
        <is>
          <t>RC-RTA</t>
        </is>
      </c>
      <c r="F112" s="8" t="n">
        <v>0</v>
      </c>
      <c r="G112" s="8" t="n">
        <v>0</v>
      </c>
      <c r="H112" s="8" t="n">
        <v>1</v>
      </c>
      <c r="I112" s="8" t="n">
        <v>4</v>
      </c>
      <c r="J112" s="8" t="n">
        <v>1</v>
      </c>
      <c r="K112" s="8" t="n">
        <v>4</v>
      </c>
      <c r="L112" s="8" t="n">
        <v>1</v>
      </c>
      <c r="M112" s="8" t="n">
        <v>4</v>
      </c>
      <c r="N112" s="8" t="n">
        <v>1</v>
      </c>
      <c r="O112" s="8" t="n">
        <v>4</v>
      </c>
      <c r="R112" s="5">
        <f>F112*VLOOKUP($E112,Tarifas!$B$5:$F$9,2,0)</f>
        <v/>
      </c>
      <c r="S112" s="5">
        <f>G112*VLOOKUP($E112,Tarifas!$B$5:$F$9,3,0)</f>
        <v/>
      </c>
      <c r="T112" s="5">
        <f>H112*VLOOKUP($E112,Tarifas!$B$5:$F$9,2,0)</f>
        <v/>
      </c>
      <c r="U112" s="5">
        <f>I112*VLOOKUP($E112,Tarifas!$B$5:$F$9,3,0)</f>
        <v/>
      </c>
      <c r="V112" s="5">
        <f>J112*VLOOKUP($E112,Tarifas!$B$5:$F$9,2,0)</f>
        <v/>
      </c>
      <c r="W112" s="5">
        <f>K112*VLOOKUP($E112,Tarifas!$B$5:$F$9,3,0)</f>
        <v/>
      </c>
      <c r="X112" s="5">
        <f>L112*VLOOKUP($E112,Tarifas!$B$5:$F$9,2,0)</f>
        <v/>
      </c>
      <c r="Y112" s="5">
        <f>M112*VLOOKUP($E112,Tarifas!$B$5:$F$9,3,0)</f>
        <v/>
      </c>
      <c r="Z112" s="5">
        <f>N112*VLOOKUP($E112,Tarifas!$B$5:$F$9,2,0)</f>
        <v/>
      </c>
      <c r="AA112" s="5">
        <f>O112*VLOOKUP($E112,Tarifas!$B$5:$F$9,3,0)</f>
        <v/>
      </c>
    </row>
    <row r="113">
      <c r="A113" t="inlineStr">
        <is>
          <t>PIPE-01</t>
        </is>
      </c>
      <c r="B113" t="inlineStr">
        <is>
          <t>Automatizacion de pipeline/scripts/tools</t>
        </is>
      </c>
      <c r="C113" t="inlineStr">
        <is>
          <t>pipeline</t>
        </is>
      </c>
      <c r="D113" t="inlineStr">
        <is>
          <t>Script utilitario CLI (batch export/rename/conversion)</t>
        </is>
      </c>
      <c r="E113" t="inlineStr">
        <is>
          <t>RC-WEB</t>
        </is>
      </c>
      <c r="F113" s="8" t="n">
        <v>0</v>
      </c>
      <c r="G113" s="8" t="n">
        <v>0</v>
      </c>
      <c r="H113" s="8" t="n">
        <v>4</v>
      </c>
      <c r="I113" s="8" t="n">
        <v>12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R113" s="5">
        <f>F113*VLOOKUP($E113,Tarifas!$B$5:$F$9,2,0)</f>
        <v/>
      </c>
      <c r="S113" s="5">
        <f>G113*VLOOKUP($E113,Tarifas!$B$5:$F$9,3,0)</f>
        <v/>
      </c>
      <c r="T113" s="5">
        <f>H113*VLOOKUP($E113,Tarifas!$B$5:$F$9,2,0)</f>
        <v/>
      </c>
      <c r="U113" s="5">
        <f>I113*VLOOKUP($E113,Tarifas!$B$5:$F$9,3,0)</f>
        <v/>
      </c>
      <c r="V113" s="5">
        <f>J113*VLOOKUP($E113,Tarifas!$B$5:$F$9,2,0)</f>
        <v/>
      </c>
      <c r="W113" s="5">
        <f>K113*VLOOKUP($E113,Tarifas!$B$5:$F$9,3,0)</f>
        <v/>
      </c>
      <c r="X113" s="5">
        <f>L113*VLOOKUP($E113,Tarifas!$B$5:$F$9,2,0)</f>
        <v/>
      </c>
      <c r="Y113" s="5">
        <f>M113*VLOOKUP($E113,Tarifas!$B$5:$F$9,3,0)</f>
        <v/>
      </c>
      <c r="Z113" s="5">
        <f>N113*VLOOKUP($E113,Tarifas!$B$5:$F$9,2,0)</f>
        <v/>
      </c>
      <c r="AA113" s="5">
        <f>O113*VLOOKUP($E113,Tarifas!$B$5:$F$9,3,0)</f>
        <v/>
      </c>
    </row>
    <row r="114">
      <c r="A114" t="inlineStr">
        <is>
          <t>PIPE-01</t>
        </is>
      </c>
      <c r="B114" t="inlineStr">
        <is>
          <t>Automatizacion de pipeline/scripts/tools</t>
        </is>
      </c>
      <c r="C114" t="inlineStr">
        <is>
          <t>pipeline</t>
        </is>
      </c>
      <c r="D114" t="inlineStr">
        <is>
          <t>Tool con UI (panel/presets/validaciones)</t>
        </is>
      </c>
      <c r="E114" t="inlineStr">
        <is>
          <t>RC-WEB</t>
        </is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12</v>
      </c>
      <c r="K114" s="8" t="n">
        <v>30</v>
      </c>
      <c r="L114" s="8" t="n">
        <v>0</v>
      </c>
      <c r="M114" s="8" t="n">
        <v>0</v>
      </c>
      <c r="N114" s="8" t="n">
        <v>0</v>
      </c>
      <c r="O114" s="8" t="n">
        <v>0</v>
      </c>
      <c r="R114" s="5">
        <f>F114*VLOOKUP($E114,Tarifas!$B$5:$F$9,2,0)</f>
        <v/>
      </c>
      <c r="S114" s="5">
        <f>G114*VLOOKUP($E114,Tarifas!$B$5:$F$9,3,0)</f>
        <v/>
      </c>
      <c r="T114" s="5">
        <f>H114*VLOOKUP($E114,Tarifas!$B$5:$F$9,2,0)</f>
        <v/>
      </c>
      <c r="U114" s="5">
        <f>I114*VLOOKUP($E114,Tarifas!$B$5:$F$9,3,0)</f>
        <v/>
      </c>
      <c r="V114" s="5">
        <f>J114*VLOOKUP($E114,Tarifas!$B$5:$F$9,2,0)</f>
        <v/>
      </c>
      <c r="W114" s="5">
        <f>K114*VLOOKUP($E114,Tarifas!$B$5:$F$9,3,0)</f>
        <v/>
      </c>
      <c r="X114" s="5">
        <f>L114*VLOOKUP($E114,Tarifas!$B$5:$F$9,2,0)</f>
        <v/>
      </c>
      <c r="Y114" s="5">
        <f>M114*VLOOKUP($E114,Tarifas!$B$5:$F$9,3,0)</f>
        <v/>
      </c>
      <c r="Z114" s="5">
        <f>N114*VLOOKUP($E114,Tarifas!$B$5:$F$9,2,0)</f>
        <v/>
      </c>
      <c r="AA114" s="5">
        <f>O114*VLOOKUP($E114,Tarifas!$B$5:$F$9,3,0)</f>
        <v/>
      </c>
    </row>
    <row r="115">
      <c r="A115" t="inlineStr">
        <is>
          <t>PIPE-01</t>
        </is>
      </c>
      <c r="B115" t="inlineStr">
        <is>
          <t>Automatizacion de pipeline/scripts/tools</t>
        </is>
      </c>
      <c r="C115" t="inlineStr">
        <is>
          <t>pipeline</t>
        </is>
      </c>
      <c r="D115" t="inlineStr">
        <is>
          <t>Pipeline completo end-to-end documentado + QA auto</t>
        </is>
      </c>
      <c r="E115" t="inlineStr">
        <is>
          <t>RC-AI</t>
        </is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30</v>
      </c>
      <c r="M115" s="8" t="n">
        <v>80</v>
      </c>
      <c r="N115" s="8" t="n">
        <v>36</v>
      </c>
      <c r="O115" s="8" t="n">
        <v>96</v>
      </c>
      <c r="R115" s="5">
        <f>F115*VLOOKUP($E115,Tarifas!$B$5:$F$9,2,0)</f>
        <v/>
      </c>
      <c r="S115" s="5">
        <f>G115*VLOOKUP($E115,Tarifas!$B$5:$F$9,3,0)</f>
        <v/>
      </c>
      <c r="T115" s="5">
        <f>H115*VLOOKUP($E115,Tarifas!$B$5:$F$9,2,0)</f>
        <v/>
      </c>
      <c r="U115" s="5">
        <f>I115*VLOOKUP($E115,Tarifas!$B$5:$F$9,3,0)</f>
        <v/>
      </c>
      <c r="V115" s="5">
        <f>J115*VLOOKUP($E115,Tarifas!$B$5:$F$9,2,0)</f>
        <v/>
      </c>
      <c r="W115" s="5">
        <f>K115*VLOOKUP($E115,Tarifas!$B$5:$F$9,3,0)</f>
        <v/>
      </c>
      <c r="X115" s="5">
        <f>L115*VLOOKUP($E115,Tarifas!$B$5:$F$9,2,0)</f>
        <v/>
      </c>
      <c r="Y115" s="5">
        <f>M115*VLOOKUP($E115,Tarifas!$B$5:$F$9,3,0)</f>
        <v/>
      </c>
      <c r="Z115" s="5">
        <f>N115*VLOOKUP($E115,Tarifas!$B$5:$F$9,2,0)</f>
        <v/>
      </c>
      <c r="AA115" s="5">
        <f>O115*VLOOKUP($E115,Tarifas!$B$5:$F$9,3,0)</f>
        <v/>
      </c>
    </row>
  </sheetData>
  <autoFilter ref="A1:AA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" customWidth="1" min="25" max="25"/>
  </cols>
  <sheetData>
    <row r="1">
      <c r="A1" s="4" t="inlineStr">
        <is>
          <t>ID</t>
        </is>
      </c>
      <c r="B1" s="4" t="inlineStr">
        <is>
          <t>Servicio</t>
        </is>
      </c>
      <c r="C1" s="4" t="inlineStr">
        <is>
          <t>Familia</t>
        </is>
      </c>
      <c r="D1" s="4" t="inlineStr">
        <is>
          <t>Entrega (d)</t>
        </is>
      </c>
      <c r="E1" s="4" t="inlineStr">
        <is>
          <t>XS h min</t>
        </is>
      </c>
      <c r="F1" s="4" t="inlineStr">
        <is>
          <t>XS h max</t>
        </is>
      </c>
      <c r="G1" s="4" t="inlineStr">
        <is>
          <t>XS COP min</t>
        </is>
      </c>
      <c r="H1" s="4" t="inlineStr">
        <is>
          <t>XS COP max</t>
        </is>
      </c>
      <c r="I1" s="4" t="inlineStr">
        <is>
          <t>S h min</t>
        </is>
      </c>
      <c r="J1" s="4" t="inlineStr">
        <is>
          <t>S h max</t>
        </is>
      </c>
      <c r="K1" s="4" t="inlineStr">
        <is>
          <t>S COP min</t>
        </is>
      </c>
      <c r="L1" s="4" t="inlineStr">
        <is>
          <t>S COP max</t>
        </is>
      </c>
      <c r="M1" s="4" t="inlineStr">
        <is>
          <t>M h min</t>
        </is>
      </c>
      <c r="N1" s="4" t="inlineStr">
        <is>
          <t>M h max</t>
        </is>
      </c>
      <c r="O1" s="4" t="inlineStr">
        <is>
          <t>M COP min</t>
        </is>
      </c>
      <c r="P1" s="4" t="inlineStr">
        <is>
          <t>M COP max</t>
        </is>
      </c>
      <c r="Q1" s="4" t="inlineStr">
        <is>
          <t>L h min</t>
        </is>
      </c>
      <c r="R1" s="4" t="inlineStr">
        <is>
          <t>L h max</t>
        </is>
      </c>
      <c r="S1" s="4" t="inlineStr">
        <is>
          <t>L COP min</t>
        </is>
      </c>
      <c r="T1" s="4" t="inlineStr">
        <is>
          <t>L COP max</t>
        </is>
      </c>
      <c r="U1" s="4" t="inlineStr">
        <is>
          <t>XL h min</t>
        </is>
      </c>
      <c r="V1" s="4" t="inlineStr">
        <is>
          <t>XL h max</t>
        </is>
      </c>
      <c r="W1" s="4" t="inlineStr">
        <is>
          <t>XL COP min</t>
        </is>
      </c>
      <c r="X1" s="4" t="inlineStr">
        <is>
          <t>XL COP max</t>
        </is>
      </c>
      <c r="Y1" s="4" t="inlineStr">
        <is>
          <t>Desde (COP, S)</t>
        </is>
      </c>
    </row>
    <row r="2">
      <c r="A2" t="inlineStr">
        <is>
          <t>RND-01</t>
        </is>
      </c>
      <c r="B2" t="inlineStr">
        <is>
          <t>Render 3D estatico</t>
        </is>
      </c>
      <c r="C2" t="inlineStr">
        <is>
          <t>render</t>
        </is>
      </c>
      <c r="D2" t="inlineStr">
        <is>
          <t>1-14</t>
        </is>
      </c>
      <c r="E2" s="8">
        <f>IF(SUMIFS(Catálogo!$F:$F,Catálogo!$A:$A,$A2)=0,SUMIFS(Catálogo!$H:$H,Catálogo!$A:$A,$A2),SUMIFS(Catálogo!$F:$F,Catálogo!$A:$A,$A2))</f>
        <v/>
      </c>
      <c r="F2" s="8">
        <f>IF(SUMIFS(Catálogo!$G:$G,Catálogo!$A:$A,$A2)=0,SUMIFS(Catálogo!$I:$I,Catálogo!$A:$A,$A2),SUMIFS(Catálogo!$G:$G,Catálogo!$A:$A,$A2))</f>
        <v/>
      </c>
      <c r="G2" s="5">
        <f>IF(SUMIFS(Catálogo!$F:$F,Catálogo!$A:$A,$A2)=0,MAX(FLOOR(SUMIFS(Catálogo!$T:$T,Catálogo!$A:$A,$A2),1000),400000),MAX(FLOOR(SUMIFS(Catálogo!$R:$R,Catálogo!$A:$A,$A2),1000),400000))</f>
        <v/>
      </c>
      <c r="H2" s="5">
        <f>IF(SUMIFS(Catálogo!$G:$G,Catálogo!$A:$A,$A2)=0,MAX(CEILING(SUMIFS(Catálogo!$U:$U,Catálogo!$A:$A,$A2),1000),400000),MAX(CEILING(SUMIFS(Catálogo!$S:$S,Catálogo!$A:$A,$A2),1000),400000))</f>
        <v/>
      </c>
      <c r="I2" s="8">
        <f>SUMIFS(Catálogo!$H:$H,Catálogo!$A:$A,$A2)</f>
        <v/>
      </c>
      <c r="J2" s="8">
        <f>SUMIFS(Catálogo!$I:$I,Catálogo!$A:$A,$A2)</f>
        <v/>
      </c>
      <c r="K2" s="5">
        <f>MAX(FLOOR(SUMIFS(Catálogo!$T:T,Catálogo!$A:$A,$A2),1000),400000)</f>
        <v/>
      </c>
      <c r="L2" s="5">
        <f>MAX(CEILING(SUMIFS(Catálogo!$U:U,Catálogo!$A:$A,$A2),1000),400000)</f>
        <v/>
      </c>
      <c r="M2" s="8">
        <f>SUMIFS(Catálogo!$J:$J,Catálogo!$A:$A,$A2)</f>
        <v/>
      </c>
      <c r="N2" s="8">
        <f>SUMIFS(Catálogo!$K:$K,Catálogo!$A:$A,$A2)</f>
        <v/>
      </c>
      <c r="O2" s="5">
        <f>MAX(FLOOR(SUMIFS(Catálogo!$V:V,Catálogo!$A:$A,$A2),1000),400000)</f>
        <v/>
      </c>
      <c r="P2" s="5">
        <f>MAX(CEILING(SUMIFS(Catálogo!$W:W,Catálogo!$A:$A,$A2),1000),400000)</f>
        <v/>
      </c>
      <c r="Q2" s="8">
        <f>SUMIFS(Catálogo!$L:$L,Catálogo!$A:$A,$A2)</f>
        <v/>
      </c>
      <c r="R2" s="8">
        <f>SUMIFS(Catálogo!$M:$M,Catálogo!$A:$A,$A2)</f>
        <v/>
      </c>
      <c r="S2" s="5">
        <f>MAX(FLOOR(SUMIFS(Catálogo!$X:X,Catálogo!$A:$A,$A2),1000),400000)</f>
        <v/>
      </c>
      <c r="T2" s="5">
        <f>MAX(CEILING(SUMIFS(Catálogo!$Y:Y,Catálogo!$A:$A,$A2),1000),400000)</f>
        <v/>
      </c>
      <c r="U2" s="8">
        <f>SUMIFS(Catálogo!$N:$N,Catálogo!$A:$A,$A2)</f>
        <v/>
      </c>
      <c r="V2" s="8">
        <f>SUMIFS(Catálogo!$O:$O,Catálogo!$A:$A,$A2)</f>
        <v/>
      </c>
      <c r="W2" s="5">
        <f>MAX(FLOOR(SUMIFS(Catálogo!$Z:Z,Catálogo!$A:$A,$A2),1000),400000)</f>
        <v/>
      </c>
      <c r="X2" s="5">
        <f>MAX(CEILING(SUMIFS(Catálogo!$AA:AA,Catálogo!$A:$A,$A2),1000),400000)</f>
        <v/>
      </c>
      <c r="Y2" s="5">
        <f>I2</f>
        <v/>
      </c>
    </row>
    <row r="3">
      <c r="A3" t="inlineStr">
        <is>
          <t>RND-02</t>
        </is>
      </c>
      <c r="B3" t="inlineStr">
        <is>
          <t>Animacion 3D (render offline)</t>
        </is>
      </c>
      <c r="C3" t="inlineStr">
        <is>
          <t>render</t>
        </is>
      </c>
      <c r="D3" t="inlineStr">
        <is>
          <t>3-42</t>
        </is>
      </c>
      <c r="E3" s="8">
        <f>IF(SUMIFS(Catálogo!$F:$F,Catálogo!$A:$A,$A3)=0,SUMIFS(Catálogo!$H:$H,Catálogo!$A:$A,$A3),SUMIFS(Catálogo!$F:$F,Catálogo!$A:$A,$A3))</f>
        <v/>
      </c>
      <c r="F3" s="8">
        <f>IF(SUMIFS(Catálogo!$G:$G,Catálogo!$A:$A,$A3)=0,SUMIFS(Catálogo!$I:$I,Catálogo!$A:$A,$A3),SUMIFS(Catálogo!$G:$G,Catálogo!$A:$A,$A3))</f>
        <v/>
      </c>
      <c r="G3" s="5">
        <f>IF(SUMIFS(Catálogo!$F:$F,Catálogo!$A:$A,$A3)=0,MAX(FLOOR(SUMIFS(Catálogo!$T:$T,Catálogo!$A:$A,$A3),1000),400000),MAX(FLOOR(SUMIFS(Catálogo!$R:$R,Catálogo!$A:$A,$A3),1000),400000))</f>
        <v/>
      </c>
      <c r="H3" s="5">
        <f>IF(SUMIFS(Catálogo!$G:$G,Catálogo!$A:$A,$A3)=0,MAX(CEILING(SUMIFS(Catálogo!$U:$U,Catálogo!$A:$A,$A3),1000),400000),MAX(CEILING(SUMIFS(Catálogo!$S:$S,Catálogo!$A:$A,$A3),1000),400000))</f>
        <v/>
      </c>
      <c r="I3" s="8">
        <f>SUMIFS(Catálogo!$H:$H,Catálogo!$A:$A,$A3)</f>
        <v/>
      </c>
      <c r="J3" s="8">
        <f>SUMIFS(Catálogo!$I:$I,Catálogo!$A:$A,$A3)</f>
        <v/>
      </c>
      <c r="K3" s="5">
        <f>MAX(FLOOR(SUMIFS(Catálogo!$T:T,Catálogo!$A:$A,$A3),1000),400000)</f>
        <v/>
      </c>
      <c r="L3" s="5">
        <f>MAX(CEILING(SUMIFS(Catálogo!$U:U,Catálogo!$A:$A,$A3),1000),400000)</f>
        <v/>
      </c>
      <c r="M3" s="8">
        <f>SUMIFS(Catálogo!$J:$J,Catálogo!$A:$A,$A3)</f>
        <v/>
      </c>
      <c r="N3" s="8">
        <f>SUMIFS(Catálogo!$K:$K,Catálogo!$A:$A,$A3)</f>
        <v/>
      </c>
      <c r="O3" s="5">
        <f>MAX(FLOOR(SUMIFS(Catálogo!$V:V,Catálogo!$A:$A,$A3),1000),400000)</f>
        <v/>
      </c>
      <c r="P3" s="5">
        <f>MAX(CEILING(SUMIFS(Catálogo!$W:W,Catálogo!$A:$A,$A3),1000),400000)</f>
        <v/>
      </c>
      <c r="Q3" s="8">
        <f>SUMIFS(Catálogo!$L:$L,Catálogo!$A:$A,$A3)</f>
        <v/>
      </c>
      <c r="R3" s="8">
        <f>SUMIFS(Catálogo!$M:$M,Catálogo!$A:$A,$A3)</f>
        <v/>
      </c>
      <c r="S3" s="5">
        <f>MAX(FLOOR(SUMIFS(Catálogo!$X:X,Catálogo!$A:$A,$A3),1000),400000)</f>
        <v/>
      </c>
      <c r="T3" s="5">
        <f>MAX(CEILING(SUMIFS(Catálogo!$Y:Y,Catálogo!$A:$A,$A3),1000),400000)</f>
        <v/>
      </c>
      <c r="U3" s="8">
        <f>SUMIFS(Catálogo!$N:$N,Catálogo!$A:$A,$A3)</f>
        <v/>
      </c>
      <c r="V3" s="8">
        <f>SUMIFS(Catálogo!$O:$O,Catálogo!$A:$A,$A3)</f>
        <v/>
      </c>
      <c r="W3" s="5">
        <f>MAX(FLOOR(SUMIFS(Catálogo!$Z:Z,Catálogo!$A:$A,$A3),1000),400000)</f>
        <v/>
      </c>
      <c r="X3" s="5">
        <f>MAX(CEILING(SUMIFS(Catálogo!$AA:AA,Catálogo!$A:$A,$A3),1000),400000)</f>
        <v/>
      </c>
      <c r="Y3" s="5">
        <f>I3</f>
        <v/>
      </c>
    </row>
    <row r="4">
      <c r="A4" t="inlineStr">
        <is>
          <t>RTA-01</t>
        </is>
      </c>
      <c r="B4" t="inlineStr">
        <is>
          <t>Asset 3D realtime estatico</t>
        </is>
      </c>
      <c r="C4" t="inlineStr">
        <is>
          <t>asset-rt</t>
        </is>
      </c>
      <c r="D4" t="inlineStr">
        <is>
          <t>1-42</t>
        </is>
      </c>
      <c r="E4" s="8">
        <f>IF(SUMIFS(Catálogo!$F:$F,Catálogo!$A:$A,$A4)=0,SUMIFS(Catálogo!$H:$H,Catálogo!$A:$A,$A4),SUMIFS(Catálogo!$F:$F,Catálogo!$A:$A,$A4))</f>
        <v/>
      </c>
      <c r="F4" s="8">
        <f>IF(SUMIFS(Catálogo!$G:$G,Catálogo!$A:$A,$A4)=0,SUMIFS(Catálogo!$I:$I,Catálogo!$A:$A,$A4),SUMIFS(Catálogo!$G:$G,Catálogo!$A:$A,$A4))</f>
        <v/>
      </c>
      <c r="G4" s="5">
        <f>IF(SUMIFS(Catálogo!$F:$F,Catálogo!$A:$A,$A4)=0,MAX(FLOOR(SUMIFS(Catálogo!$T:$T,Catálogo!$A:$A,$A4),1000),400000),MAX(FLOOR(SUMIFS(Catálogo!$R:$R,Catálogo!$A:$A,$A4),1000),400000))</f>
        <v/>
      </c>
      <c r="H4" s="5">
        <f>IF(SUMIFS(Catálogo!$G:$G,Catálogo!$A:$A,$A4)=0,MAX(CEILING(SUMIFS(Catálogo!$U:$U,Catálogo!$A:$A,$A4),1000),400000),MAX(CEILING(SUMIFS(Catálogo!$S:$S,Catálogo!$A:$A,$A4),1000),400000))</f>
        <v/>
      </c>
      <c r="I4" s="8">
        <f>SUMIFS(Catálogo!$H:$H,Catálogo!$A:$A,$A4)</f>
        <v/>
      </c>
      <c r="J4" s="8">
        <f>SUMIFS(Catálogo!$I:$I,Catálogo!$A:$A,$A4)</f>
        <v/>
      </c>
      <c r="K4" s="5">
        <f>MAX(FLOOR(SUMIFS(Catálogo!$T:T,Catálogo!$A:$A,$A4),1000),400000)</f>
        <v/>
      </c>
      <c r="L4" s="5">
        <f>MAX(CEILING(SUMIFS(Catálogo!$U:U,Catálogo!$A:$A,$A4),1000),400000)</f>
        <v/>
      </c>
      <c r="M4" s="8">
        <f>SUMIFS(Catálogo!$J:$J,Catálogo!$A:$A,$A4)</f>
        <v/>
      </c>
      <c r="N4" s="8">
        <f>SUMIFS(Catálogo!$K:$K,Catálogo!$A:$A,$A4)</f>
        <v/>
      </c>
      <c r="O4" s="5">
        <f>MAX(FLOOR(SUMIFS(Catálogo!$V:V,Catálogo!$A:$A,$A4),1000),400000)</f>
        <v/>
      </c>
      <c r="P4" s="5">
        <f>MAX(CEILING(SUMIFS(Catálogo!$W:W,Catálogo!$A:$A,$A4),1000),400000)</f>
        <v/>
      </c>
      <c r="Q4" s="8">
        <f>SUMIFS(Catálogo!$L:$L,Catálogo!$A:$A,$A4)</f>
        <v/>
      </c>
      <c r="R4" s="8">
        <f>SUMIFS(Catálogo!$M:$M,Catálogo!$A:$A,$A4)</f>
        <v/>
      </c>
      <c r="S4" s="5">
        <f>MAX(FLOOR(SUMIFS(Catálogo!$X:X,Catálogo!$A:$A,$A4),1000),400000)</f>
        <v/>
      </c>
      <c r="T4" s="5">
        <f>MAX(CEILING(SUMIFS(Catálogo!$Y:Y,Catálogo!$A:$A,$A4),1000),400000)</f>
        <v/>
      </c>
      <c r="U4" s="8">
        <f>SUMIFS(Catálogo!$N:$N,Catálogo!$A:$A,$A4)</f>
        <v/>
      </c>
      <c r="V4" s="8">
        <f>SUMIFS(Catálogo!$O:$O,Catálogo!$A:$A,$A4)</f>
        <v/>
      </c>
      <c r="W4" s="5">
        <f>MAX(FLOOR(SUMIFS(Catálogo!$Z:Z,Catálogo!$A:$A,$A4),1000),400000)</f>
        <v/>
      </c>
      <c r="X4" s="5">
        <f>MAX(CEILING(SUMIFS(Catálogo!$AA:AA,Catálogo!$A:$A,$A4),1000),400000)</f>
        <v/>
      </c>
      <c r="Y4" s="5">
        <f>I4</f>
        <v/>
      </c>
    </row>
    <row r="5">
      <c r="A5" t="inlineStr">
        <is>
          <t>RTA-02</t>
        </is>
      </c>
      <c r="B5" t="inlineStr">
        <is>
          <t>Asset RT interactuable (hotspots)</t>
        </is>
      </c>
      <c r="C5" t="inlineStr">
        <is>
          <t>asset-rt</t>
        </is>
      </c>
      <c r="D5" t="inlineStr">
        <is>
          <t>2-49</t>
        </is>
      </c>
      <c r="E5" s="8">
        <f>IF(SUMIFS(Catálogo!$F:$F,Catálogo!$A:$A,$A5)=0,SUMIFS(Catálogo!$H:$H,Catálogo!$A:$A,$A5),SUMIFS(Catálogo!$F:$F,Catálogo!$A:$A,$A5))</f>
        <v/>
      </c>
      <c r="F5" s="8">
        <f>IF(SUMIFS(Catálogo!$G:$G,Catálogo!$A:$A,$A5)=0,SUMIFS(Catálogo!$I:$I,Catálogo!$A:$A,$A5),SUMIFS(Catálogo!$G:$G,Catálogo!$A:$A,$A5))</f>
        <v/>
      </c>
      <c r="G5" s="5">
        <f>IF(SUMIFS(Catálogo!$F:$F,Catálogo!$A:$A,$A5)=0,MAX(FLOOR(SUMIFS(Catálogo!$T:$T,Catálogo!$A:$A,$A5),1000),400000),MAX(FLOOR(SUMIFS(Catálogo!$R:$R,Catálogo!$A:$A,$A5),1000),400000))</f>
        <v/>
      </c>
      <c r="H5" s="5">
        <f>IF(SUMIFS(Catálogo!$G:$G,Catálogo!$A:$A,$A5)=0,MAX(CEILING(SUMIFS(Catálogo!$U:$U,Catálogo!$A:$A,$A5),1000),400000),MAX(CEILING(SUMIFS(Catálogo!$S:$S,Catálogo!$A:$A,$A5),1000),400000))</f>
        <v/>
      </c>
      <c r="I5" s="8">
        <f>SUMIFS(Catálogo!$H:$H,Catálogo!$A:$A,$A5)</f>
        <v/>
      </c>
      <c r="J5" s="8">
        <f>SUMIFS(Catálogo!$I:$I,Catálogo!$A:$A,$A5)</f>
        <v/>
      </c>
      <c r="K5" s="5">
        <f>MAX(FLOOR(SUMIFS(Catálogo!$T:T,Catálogo!$A:$A,$A5),1000),400000)</f>
        <v/>
      </c>
      <c r="L5" s="5">
        <f>MAX(CEILING(SUMIFS(Catálogo!$U:U,Catálogo!$A:$A,$A5),1000),400000)</f>
        <v/>
      </c>
      <c r="M5" s="8">
        <f>SUMIFS(Catálogo!$J:$J,Catálogo!$A:$A,$A5)</f>
        <v/>
      </c>
      <c r="N5" s="8">
        <f>SUMIFS(Catálogo!$K:$K,Catálogo!$A:$A,$A5)</f>
        <v/>
      </c>
      <c r="O5" s="5">
        <f>MAX(FLOOR(SUMIFS(Catálogo!$V:V,Catálogo!$A:$A,$A5),1000),400000)</f>
        <v/>
      </c>
      <c r="P5" s="5">
        <f>MAX(CEILING(SUMIFS(Catálogo!$W:W,Catálogo!$A:$A,$A5),1000),400000)</f>
        <v/>
      </c>
      <c r="Q5" s="8">
        <f>SUMIFS(Catálogo!$L:$L,Catálogo!$A:$A,$A5)</f>
        <v/>
      </c>
      <c r="R5" s="8">
        <f>SUMIFS(Catálogo!$M:$M,Catálogo!$A:$A,$A5)</f>
        <v/>
      </c>
      <c r="S5" s="5">
        <f>MAX(FLOOR(SUMIFS(Catálogo!$X:X,Catálogo!$A:$A,$A5),1000),400000)</f>
        <v/>
      </c>
      <c r="T5" s="5">
        <f>MAX(CEILING(SUMIFS(Catálogo!$Y:Y,Catálogo!$A:$A,$A5),1000),400000)</f>
        <v/>
      </c>
      <c r="U5" s="8">
        <f>SUMIFS(Catálogo!$N:$N,Catálogo!$A:$A,$A5)</f>
        <v/>
      </c>
      <c r="V5" s="8">
        <f>SUMIFS(Catálogo!$O:$O,Catálogo!$A:$A,$A5)</f>
        <v/>
      </c>
      <c r="W5" s="5">
        <f>MAX(FLOOR(SUMIFS(Catálogo!$Z:Z,Catálogo!$A:$A,$A5),1000),400000)</f>
        <v/>
      </c>
      <c r="X5" s="5">
        <f>MAX(CEILING(SUMIFS(Catálogo!$AA:AA,Catálogo!$A:$A,$A5),1000),400000)</f>
        <v/>
      </c>
      <c r="Y5" s="5">
        <f>I5</f>
        <v/>
      </c>
    </row>
    <row r="6">
      <c r="A6" t="inlineStr">
        <is>
          <t>CAD-01</t>
        </is>
      </c>
      <c r="B6" t="inlineStr">
        <is>
          <t>CAD a WebGL ready (servicio insignia)</t>
        </is>
      </c>
      <c r="C6" t="inlineStr">
        <is>
          <t>datos</t>
        </is>
      </c>
      <c r="D6" t="inlineStr">
        <is>
          <t>1-70</t>
        </is>
      </c>
      <c r="E6" s="8">
        <f>IF(SUMIFS(Catálogo!$F:$F,Catálogo!$A:$A,$A6)=0,SUMIFS(Catálogo!$H:$H,Catálogo!$A:$A,$A6),SUMIFS(Catálogo!$F:$F,Catálogo!$A:$A,$A6))</f>
        <v/>
      </c>
      <c r="F6" s="8">
        <f>IF(SUMIFS(Catálogo!$G:$G,Catálogo!$A:$A,$A6)=0,SUMIFS(Catálogo!$I:$I,Catálogo!$A:$A,$A6),SUMIFS(Catálogo!$G:$G,Catálogo!$A:$A,$A6))</f>
        <v/>
      </c>
      <c r="G6" s="5">
        <f>IF(SUMIFS(Catálogo!$F:$F,Catálogo!$A:$A,$A6)=0,MAX(FLOOR(SUMIFS(Catálogo!$T:$T,Catálogo!$A:$A,$A6),1000),400000),MAX(FLOOR(SUMIFS(Catálogo!$R:$R,Catálogo!$A:$A,$A6),1000),400000))</f>
        <v/>
      </c>
      <c r="H6" s="5">
        <f>IF(SUMIFS(Catálogo!$G:$G,Catálogo!$A:$A,$A6)=0,MAX(CEILING(SUMIFS(Catálogo!$U:$U,Catálogo!$A:$A,$A6),1000),400000),MAX(CEILING(SUMIFS(Catálogo!$S:$S,Catálogo!$A:$A,$A6),1000),400000))</f>
        <v/>
      </c>
      <c r="I6" s="8">
        <f>SUMIFS(Catálogo!$H:$H,Catálogo!$A:$A,$A6)</f>
        <v/>
      </c>
      <c r="J6" s="8">
        <f>SUMIFS(Catálogo!$I:$I,Catálogo!$A:$A,$A6)</f>
        <v/>
      </c>
      <c r="K6" s="5">
        <f>MAX(FLOOR(SUMIFS(Catálogo!$T:T,Catálogo!$A:$A,$A6),1000),400000)</f>
        <v/>
      </c>
      <c r="L6" s="5">
        <f>MAX(CEILING(SUMIFS(Catálogo!$U:U,Catálogo!$A:$A,$A6),1000),400000)</f>
        <v/>
      </c>
      <c r="M6" s="8">
        <f>SUMIFS(Catálogo!$J:$J,Catálogo!$A:$A,$A6)</f>
        <v/>
      </c>
      <c r="N6" s="8">
        <f>SUMIFS(Catálogo!$K:$K,Catálogo!$A:$A,$A6)</f>
        <v/>
      </c>
      <c r="O6" s="5">
        <f>MAX(FLOOR(SUMIFS(Catálogo!$V:V,Catálogo!$A:$A,$A6),1000),400000)</f>
        <v/>
      </c>
      <c r="P6" s="5">
        <f>MAX(CEILING(SUMIFS(Catálogo!$W:W,Catálogo!$A:$A,$A6),1000),400000)</f>
        <v/>
      </c>
      <c r="Q6" s="8">
        <f>SUMIFS(Catálogo!$L:$L,Catálogo!$A:$A,$A6)</f>
        <v/>
      </c>
      <c r="R6" s="8">
        <f>SUMIFS(Catálogo!$M:$M,Catálogo!$A:$A,$A6)</f>
        <v/>
      </c>
      <c r="S6" s="5">
        <f>MAX(FLOOR(SUMIFS(Catálogo!$X:X,Catálogo!$A:$A,$A6),1000),400000)</f>
        <v/>
      </c>
      <c r="T6" s="5">
        <f>MAX(CEILING(SUMIFS(Catálogo!$Y:Y,Catálogo!$A:$A,$A6),1000),400000)</f>
        <v/>
      </c>
      <c r="U6" s="8">
        <f>SUMIFS(Catálogo!$N:$N,Catálogo!$A:$A,$A6)</f>
        <v/>
      </c>
      <c r="V6" s="8">
        <f>SUMIFS(Catálogo!$O:$O,Catálogo!$A:$A,$A6)</f>
        <v/>
      </c>
      <c r="W6" s="5">
        <f>MAX(FLOOR(SUMIFS(Catálogo!$Z:Z,Catálogo!$A:$A,$A6),1000),400000)</f>
        <v/>
      </c>
      <c r="X6" s="5">
        <f>MAX(CEILING(SUMIFS(Catálogo!$AA:AA,Catálogo!$A:$A,$A6),1000),400000)</f>
        <v/>
      </c>
      <c r="Y6" s="5">
        <f>I6</f>
        <v/>
      </c>
    </row>
    <row r="7">
      <c r="A7" t="inlineStr">
        <is>
          <t>WEB-01</t>
        </is>
      </c>
      <c r="B7" t="inlineStr">
        <is>
          <t>Visor custom three.js / Babylon.js</t>
        </is>
      </c>
      <c r="C7" t="inlineStr">
        <is>
          <t>web-3d</t>
        </is>
      </c>
      <c r="D7" t="inlineStr">
        <is>
          <t>2-21</t>
        </is>
      </c>
      <c r="E7" s="8">
        <f>IF(SUMIFS(Catálogo!$F:$F,Catálogo!$A:$A,$A7)=0,SUMIFS(Catálogo!$H:$H,Catálogo!$A:$A,$A7),SUMIFS(Catálogo!$F:$F,Catálogo!$A:$A,$A7))</f>
        <v/>
      </c>
      <c r="F7" s="8">
        <f>IF(SUMIFS(Catálogo!$G:$G,Catálogo!$A:$A,$A7)=0,SUMIFS(Catálogo!$I:$I,Catálogo!$A:$A,$A7),SUMIFS(Catálogo!$G:$G,Catálogo!$A:$A,$A7))</f>
        <v/>
      </c>
      <c r="G7" s="5">
        <f>IF(SUMIFS(Catálogo!$F:$F,Catálogo!$A:$A,$A7)=0,MAX(FLOOR(SUMIFS(Catálogo!$T:$T,Catálogo!$A:$A,$A7),1000),400000),MAX(FLOOR(SUMIFS(Catálogo!$R:$R,Catálogo!$A:$A,$A7),1000),400000))</f>
        <v/>
      </c>
      <c r="H7" s="5">
        <f>IF(SUMIFS(Catálogo!$G:$G,Catálogo!$A:$A,$A7)=0,MAX(CEILING(SUMIFS(Catálogo!$U:$U,Catálogo!$A:$A,$A7),1000),400000),MAX(CEILING(SUMIFS(Catálogo!$S:$S,Catálogo!$A:$A,$A7),1000),400000))</f>
        <v/>
      </c>
      <c r="I7" s="8">
        <f>SUMIFS(Catálogo!$H:$H,Catálogo!$A:$A,$A7)</f>
        <v/>
      </c>
      <c r="J7" s="8">
        <f>SUMIFS(Catálogo!$I:$I,Catálogo!$A:$A,$A7)</f>
        <v/>
      </c>
      <c r="K7" s="5">
        <f>MAX(FLOOR(SUMIFS(Catálogo!$T:T,Catálogo!$A:$A,$A7),1000),400000)</f>
        <v/>
      </c>
      <c r="L7" s="5">
        <f>MAX(CEILING(SUMIFS(Catálogo!$U:U,Catálogo!$A:$A,$A7),1000),400000)</f>
        <v/>
      </c>
      <c r="M7" s="8">
        <f>SUMIFS(Catálogo!$J:$J,Catálogo!$A:$A,$A7)</f>
        <v/>
      </c>
      <c r="N7" s="8">
        <f>SUMIFS(Catálogo!$K:$K,Catálogo!$A:$A,$A7)</f>
        <v/>
      </c>
      <c r="O7" s="5">
        <f>MAX(FLOOR(SUMIFS(Catálogo!$V:V,Catálogo!$A:$A,$A7),1000),400000)</f>
        <v/>
      </c>
      <c r="P7" s="5">
        <f>MAX(CEILING(SUMIFS(Catálogo!$W:W,Catálogo!$A:$A,$A7),1000),400000)</f>
        <v/>
      </c>
      <c r="Q7" s="8">
        <f>SUMIFS(Catálogo!$L:$L,Catálogo!$A:$A,$A7)</f>
        <v/>
      </c>
      <c r="R7" s="8">
        <f>SUMIFS(Catálogo!$M:$M,Catálogo!$A:$A,$A7)</f>
        <v/>
      </c>
      <c r="S7" s="5">
        <f>MAX(FLOOR(SUMIFS(Catálogo!$X:X,Catálogo!$A:$A,$A7),1000),400000)</f>
        <v/>
      </c>
      <c r="T7" s="5">
        <f>MAX(CEILING(SUMIFS(Catálogo!$Y:Y,Catálogo!$A:$A,$A7),1000),400000)</f>
        <v/>
      </c>
      <c r="U7" s="8">
        <f>SUMIFS(Catálogo!$N:$N,Catálogo!$A:$A,$A7)</f>
        <v/>
      </c>
      <c r="V7" s="8">
        <f>SUMIFS(Catálogo!$O:$O,Catálogo!$A:$A,$A7)</f>
        <v/>
      </c>
      <c r="W7" s="5">
        <f>MAX(FLOOR(SUMIFS(Catálogo!$Z:Z,Catálogo!$A:$A,$A7),1000),400000)</f>
        <v/>
      </c>
      <c r="X7" s="5">
        <f>MAX(CEILING(SUMIFS(Catálogo!$AA:AA,Catálogo!$A:$A,$A7),1000),400000)</f>
        <v/>
      </c>
      <c r="Y7" s="5">
        <f>I7</f>
        <v/>
      </c>
    </row>
    <row r="8">
      <c r="A8" t="inlineStr">
        <is>
          <t>WEB-04</t>
        </is>
      </c>
      <c r="B8" t="inlineStr">
        <is>
          <t>Web App 3D (configurador/herramienta)</t>
        </is>
      </c>
      <c r="C8" t="inlineStr">
        <is>
          <t>web-3d</t>
        </is>
      </c>
      <c r="D8" t="inlineStr">
        <is>
          <t>7-112</t>
        </is>
      </c>
      <c r="E8" s="8">
        <f>IF(SUMIFS(Catálogo!$F:$F,Catálogo!$A:$A,$A8)=0,SUMIFS(Catálogo!$H:$H,Catálogo!$A:$A,$A8),SUMIFS(Catálogo!$F:$F,Catálogo!$A:$A,$A8))</f>
        <v/>
      </c>
      <c r="F8" s="8">
        <f>IF(SUMIFS(Catálogo!$G:$G,Catálogo!$A:$A,$A8)=0,SUMIFS(Catálogo!$I:$I,Catálogo!$A:$A,$A8),SUMIFS(Catálogo!$G:$G,Catálogo!$A:$A,$A8))</f>
        <v/>
      </c>
      <c r="G8" s="5">
        <f>IF(SUMIFS(Catálogo!$F:$F,Catálogo!$A:$A,$A8)=0,MAX(FLOOR(SUMIFS(Catálogo!$T:$T,Catálogo!$A:$A,$A8),1000),400000),MAX(FLOOR(SUMIFS(Catálogo!$R:$R,Catálogo!$A:$A,$A8),1000),400000))</f>
        <v/>
      </c>
      <c r="H8" s="5">
        <f>IF(SUMIFS(Catálogo!$G:$G,Catálogo!$A:$A,$A8)=0,MAX(CEILING(SUMIFS(Catálogo!$U:$U,Catálogo!$A:$A,$A8),1000),400000),MAX(CEILING(SUMIFS(Catálogo!$S:$S,Catálogo!$A:$A,$A8),1000),400000))</f>
        <v/>
      </c>
      <c r="I8" s="8">
        <f>SUMIFS(Catálogo!$H:$H,Catálogo!$A:$A,$A8)</f>
        <v/>
      </c>
      <c r="J8" s="8">
        <f>SUMIFS(Catálogo!$I:$I,Catálogo!$A:$A,$A8)</f>
        <v/>
      </c>
      <c r="K8" s="5">
        <f>MAX(FLOOR(SUMIFS(Catálogo!$T:T,Catálogo!$A:$A,$A8),1000),400000)</f>
        <v/>
      </c>
      <c r="L8" s="5">
        <f>MAX(CEILING(SUMIFS(Catálogo!$U:U,Catálogo!$A:$A,$A8),1000),400000)</f>
        <v/>
      </c>
      <c r="M8" s="8">
        <f>SUMIFS(Catálogo!$J:$J,Catálogo!$A:$A,$A8)</f>
        <v/>
      </c>
      <c r="N8" s="8">
        <f>SUMIFS(Catálogo!$K:$K,Catálogo!$A:$A,$A8)</f>
        <v/>
      </c>
      <c r="O8" s="5">
        <f>MAX(FLOOR(SUMIFS(Catálogo!$V:V,Catálogo!$A:$A,$A8),1000),400000)</f>
        <v/>
      </c>
      <c r="P8" s="5">
        <f>MAX(CEILING(SUMIFS(Catálogo!$W:W,Catálogo!$A:$A,$A8),1000),400000)</f>
        <v/>
      </c>
      <c r="Q8" s="8">
        <f>SUMIFS(Catálogo!$L:$L,Catálogo!$A:$A,$A8)</f>
        <v/>
      </c>
      <c r="R8" s="8">
        <f>SUMIFS(Catálogo!$M:$M,Catálogo!$A:$A,$A8)</f>
        <v/>
      </c>
      <c r="S8" s="5">
        <f>MAX(FLOOR(SUMIFS(Catálogo!$X:X,Catálogo!$A:$A,$A8),1000),400000)</f>
        <v/>
      </c>
      <c r="T8" s="5">
        <f>MAX(CEILING(SUMIFS(Catálogo!$Y:Y,Catálogo!$A:$A,$A8),1000),400000)</f>
        <v/>
      </c>
      <c r="U8" s="8">
        <f>SUMIFS(Catálogo!$N:$N,Catálogo!$A:$A,$A8)</f>
        <v/>
      </c>
      <c r="V8" s="8">
        <f>SUMIFS(Catálogo!$O:$O,Catálogo!$A:$A,$A8)</f>
        <v/>
      </c>
      <c r="W8" s="5">
        <f>MAX(FLOOR(SUMIFS(Catálogo!$Z:Z,Catálogo!$A:$A,$A8),1000),400000)</f>
        <v/>
      </c>
      <c r="X8" s="5">
        <f>MAX(CEILING(SUMIFS(Catálogo!$AA:AA,Catálogo!$A:$A,$A8),1000),400000)</f>
        <v/>
      </c>
      <c r="Y8" s="5">
        <f>I8</f>
        <v/>
      </c>
    </row>
    <row r="9">
      <c r="A9" t="inlineStr">
        <is>
          <t>AI-01</t>
        </is>
      </c>
      <c r="B9" t="inlineStr">
        <is>
          <t>Asistente IA en sitio web (chat RAG)</t>
        </is>
      </c>
      <c r="C9" t="inlineStr">
        <is>
          <t>ia</t>
        </is>
      </c>
      <c r="D9" t="inlineStr">
        <is>
          <t>3-70</t>
        </is>
      </c>
      <c r="E9" s="8">
        <f>IF(SUMIFS(Catálogo!$F:$F,Catálogo!$A:$A,$A9)=0,SUMIFS(Catálogo!$H:$H,Catálogo!$A:$A,$A9),SUMIFS(Catálogo!$F:$F,Catálogo!$A:$A,$A9))</f>
        <v/>
      </c>
      <c r="F9" s="8">
        <f>IF(SUMIFS(Catálogo!$G:$G,Catálogo!$A:$A,$A9)=0,SUMIFS(Catálogo!$I:$I,Catálogo!$A:$A,$A9),SUMIFS(Catálogo!$G:$G,Catálogo!$A:$A,$A9))</f>
        <v/>
      </c>
      <c r="G9" s="5">
        <f>IF(SUMIFS(Catálogo!$F:$F,Catálogo!$A:$A,$A9)=0,MAX(FLOOR(SUMIFS(Catálogo!$T:$T,Catálogo!$A:$A,$A9),1000),400000),MAX(FLOOR(SUMIFS(Catálogo!$R:$R,Catálogo!$A:$A,$A9),1000),400000))</f>
        <v/>
      </c>
      <c r="H9" s="5">
        <f>IF(SUMIFS(Catálogo!$G:$G,Catálogo!$A:$A,$A9)=0,MAX(CEILING(SUMIFS(Catálogo!$U:$U,Catálogo!$A:$A,$A9),1000),400000),MAX(CEILING(SUMIFS(Catálogo!$S:$S,Catálogo!$A:$A,$A9),1000),400000))</f>
        <v/>
      </c>
      <c r="I9" s="8">
        <f>SUMIFS(Catálogo!$H:$H,Catálogo!$A:$A,$A9)</f>
        <v/>
      </c>
      <c r="J9" s="8">
        <f>SUMIFS(Catálogo!$I:$I,Catálogo!$A:$A,$A9)</f>
        <v/>
      </c>
      <c r="K9" s="5">
        <f>MAX(FLOOR(SUMIFS(Catálogo!$T:T,Catálogo!$A:$A,$A9),1000),400000)</f>
        <v/>
      </c>
      <c r="L9" s="5">
        <f>MAX(CEILING(SUMIFS(Catálogo!$U:U,Catálogo!$A:$A,$A9),1000),400000)</f>
        <v/>
      </c>
      <c r="M9" s="8">
        <f>SUMIFS(Catálogo!$J:$J,Catálogo!$A:$A,$A9)</f>
        <v/>
      </c>
      <c r="N9" s="8">
        <f>SUMIFS(Catálogo!$K:$K,Catálogo!$A:$A,$A9)</f>
        <v/>
      </c>
      <c r="O9" s="5">
        <f>MAX(FLOOR(SUMIFS(Catálogo!$V:V,Catálogo!$A:$A,$A9),1000),400000)</f>
        <v/>
      </c>
      <c r="P9" s="5">
        <f>MAX(CEILING(SUMIFS(Catálogo!$W:W,Catálogo!$A:$A,$A9),1000),400000)</f>
        <v/>
      </c>
      <c r="Q9" s="8">
        <f>SUMIFS(Catálogo!$L:$L,Catálogo!$A:$A,$A9)</f>
        <v/>
      </c>
      <c r="R9" s="8">
        <f>SUMIFS(Catálogo!$M:$M,Catálogo!$A:$A,$A9)</f>
        <v/>
      </c>
      <c r="S9" s="5">
        <f>MAX(FLOOR(SUMIFS(Catálogo!$X:X,Catálogo!$A:$A,$A9),1000),400000)</f>
        <v/>
      </c>
      <c r="T9" s="5">
        <f>MAX(CEILING(SUMIFS(Catálogo!$Y:Y,Catálogo!$A:$A,$A9),1000),400000)</f>
        <v/>
      </c>
      <c r="U9" s="8">
        <f>SUMIFS(Catálogo!$N:$N,Catálogo!$A:$A,$A9)</f>
        <v/>
      </c>
      <c r="V9" s="8">
        <f>SUMIFS(Catálogo!$O:$O,Catálogo!$A:$A,$A9)</f>
        <v/>
      </c>
      <c r="W9" s="5">
        <f>MAX(FLOOR(SUMIFS(Catálogo!$Z:Z,Catálogo!$A:$A,$A9),1000),400000)</f>
        <v/>
      </c>
      <c r="X9" s="5">
        <f>MAX(CEILING(SUMIFS(Catálogo!$AA:AA,Catálogo!$A:$A,$A9),1000),400000)</f>
        <v/>
      </c>
      <c r="Y9" s="5">
        <f>I9</f>
        <v/>
      </c>
    </row>
    <row r="10">
      <c r="A10" t="inlineStr">
        <is>
          <t>CON-01</t>
        </is>
      </c>
      <c r="B10" t="inlineStr">
        <is>
          <t>Consultoria tecnica 3D / web</t>
        </is>
      </c>
      <c r="C10" t="inlineStr">
        <is>
          <t>soporte</t>
        </is>
      </c>
      <c r="D10" t="inlineStr">
        <is>
          <t>2-10</t>
        </is>
      </c>
      <c r="E10" s="8">
        <f>IF(SUMIFS(Catálogo!$F:$F,Catálogo!$A:$A,$A10)=0,SUMIFS(Catálogo!$H:$H,Catálogo!$A:$A,$A10),SUMIFS(Catálogo!$F:$F,Catálogo!$A:$A,$A10))</f>
        <v/>
      </c>
      <c r="F10" s="8">
        <f>IF(SUMIFS(Catálogo!$G:$G,Catálogo!$A:$A,$A10)=0,SUMIFS(Catálogo!$I:$I,Catálogo!$A:$A,$A10),SUMIFS(Catálogo!$G:$G,Catálogo!$A:$A,$A10))</f>
        <v/>
      </c>
      <c r="G10" s="5">
        <f>IF(SUMIFS(Catálogo!$F:$F,Catálogo!$A:$A,$A10)=0,MAX(FLOOR(SUMIFS(Catálogo!$T:$T,Catálogo!$A:$A,$A10),1000),400000),MAX(FLOOR(SUMIFS(Catálogo!$R:$R,Catálogo!$A:$A,$A10),1000),400000))</f>
        <v/>
      </c>
      <c r="H10" s="5">
        <f>IF(SUMIFS(Catálogo!$G:$G,Catálogo!$A:$A,$A10)=0,MAX(CEILING(SUMIFS(Catálogo!$U:$U,Catálogo!$A:$A,$A10),1000),400000),MAX(CEILING(SUMIFS(Catálogo!$S:$S,Catálogo!$A:$A,$A10),1000),400000))</f>
        <v/>
      </c>
      <c r="I10" s="8">
        <f>SUMIFS(Catálogo!$H:$H,Catálogo!$A:$A,$A10)</f>
        <v/>
      </c>
      <c r="J10" s="8">
        <f>SUMIFS(Catálogo!$I:$I,Catálogo!$A:$A,$A10)</f>
        <v/>
      </c>
      <c r="K10" s="5">
        <f>MAX(FLOOR(SUMIFS(Catálogo!$T:T,Catálogo!$A:$A,$A10),1000),400000)</f>
        <v/>
      </c>
      <c r="L10" s="5">
        <f>MAX(CEILING(SUMIFS(Catálogo!$U:U,Catálogo!$A:$A,$A10),1000),400000)</f>
        <v/>
      </c>
      <c r="M10" s="8">
        <f>SUMIFS(Catálogo!$J:$J,Catálogo!$A:$A,$A10)</f>
        <v/>
      </c>
      <c r="N10" s="8">
        <f>SUMIFS(Catálogo!$K:$K,Catálogo!$A:$A,$A10)</f>
        <v/>
      </c>
      <c r="O10" s="5">
        <f>MAX(FLOOR(SUMIFS(Catálogo!$V:V,Catálogo!$A:$A,$A10),1000),400000)</f>
        <v/>
      </c>
      <c r="P10" s="5">
        <f>MAX(CEILING(SUMIFS(Catálogo!$W:W,Catálogo!$A:$A,$A10),1000),400000)</f>
        <v/>
      </c>
      <c r="Q10" s="8">
        <f>SUMIFS(Catálogo!$L:$L,Catálogo!$A:$A,$A10)</f>
        <v/>
      </c>
      <c r="R10" s="8">
        <f>SUMIFS(Catálogo!$M:$M,Catálogo!$A:$A,$A10)</f>
        <v/>
      </c>
      <c r="S10" s="5">
        <f>MAX(FLOOR(SUMIFS(Catálogo!$X:X,Catálogo!$A:$A,$A10),1000),400000)</f>
        <v/>
      </c>
      <c r="T10" s="5">
        <f>MAX(CEILING(SUMIFS(Catálogo!$Y:Y,Catálogo!$A:$A,$A10),1000),400000)</f>
        <v/>
      </c>
      <c r="U10" s="8">
        <f>SUMIFS(Catálogo!$N:$N,Catálogo!$A:$A,$A10)</f>
        <v/>
      </c>
      <c r="V10" s="8">
        <f>SUMIFS(Catálogo!$O:$O,Catálogo!$A:$A,$A10)</f>
        <v/>
      </c>
      <c r="W10" s="5">
        <f>MAX(FLOOR(SUMIFS(Catálogo!$Z:Z,Catálogo!$A:$A,$A10),1000),400000)</f>
        <v/>
      </c>
      <c r="X10" s="5">
        <f>MAX(CEILING(SUMIFS(Catálogo!$AA:AA,Catálogo!$A:$A,$A10),1000),400000)</f>
        <v/>
      </c>
      <c r="Y10" s="5">
        <f>I10</f>
        <v/>
      </c>
    </row>
    <row r="11">
      <c r="A11" t="inlineStr">
        <is>
          <t>RET-01</t>
        </is>
      </c>
      <c r="B11" t="inlineStr">
        <is>
          <t>Retainer mensual</t>
        </is>
      </c>
      <c r="C11" t="inlineStr">
        <is>
          <t>soporte</t>
        </is>
      </c>
      <c r="D11" t="inlineStr">
        <is>
          <t>0-0</t>
        </is>
      </c>
      <c r="E11" s="8">
        <f>IF(SUMIFS(Catálogo!$F:$F,Catálogo!$A:$A,$A11)=0,SUMIFS(Catálogo!$H:$H,Catálogo!$A:$A,$A11),SUMIFS(Catálogo!$F:$F,Catálogo!$A:$A,$A11))</f>
        <v/>
      </c>
      <c r="F11" s="8">
        <f>IF(SUMIFS(Catálogo!$G:$G,Catálogo!$A:$A,$A11)=0,SUMIFS(Catálogo!$I:$I,Catálogo!$A:$A,$A11),SUMIFS(Catálogo!$G:$G,Catálogo!$A:$A,$A11))</f>
        <v/>
      </c>
      <c r="G11" s="5">
        <f>IF(SUMIFS(Catálogo!$F:$F,Catálogo!$A:$A,$A11)=0,MAX(FLOOR(SUMIFS(Catálogo!$T:$T,Catálogo!$A:$A,$A11),1000),400000),MAX(FLOOR(SUMIFS(Catálogo!$R:$R,Catálogo!$A:$A,$A11),1000),400000))</f>
        <v/>
      </c>
      <c r="H11" s="5">
        <f>IF(SUMIFS(Catálogo!$G:$G,Catálogo!$A:$A,$A11)=0,MAX(CEILING(SUMIFS(Catálogo!$U:$U,Catálogo!$A:$A,$A11),1000),400000),MAX(CEILING(SUMIFS(Catálogo!$S:$S,Catálogo!$A:$A,$A11),1000),400000))</f>
        <v/>
      </c>
      <c r="I11" s="8">
        <f>SUMIFS(Catálogo!$H:$H,Catálogo!$A:$A,$A11)</f>
        <v/>
      </c>
      <c r="J11" s="8">
        <f>SUMIFS(Catálogo!$I:$I,Catálogo!$A:$A,$A11)</f>
        <v/>
      </c>
      <c r="K11" s="5">
        <f>MAX(FLOOR(SUMIFS(Catálogo!$T:T,Catálogo!$A:$A,$A11),1000),400000)</f>
        <v/>
      </c>
      <c r="L11" s="5">
        <f>MAX(CEILING(SUMIFS(Catálogo!$U:U,Catálogo!$A:$A,$A11),1000),400000)</f>
        <v/>
      </c>
      <c r="M11" s="8">
        <f>SUMIFS(Catálogo!$J:$J,Catálogo!$A:$A,$A11)</f>
        <v/>
      </c>
      <c r="N11" s="8">
        <f>SUMIFS(Catálogo!$K:$K,Catálogo!$A:$A,$A11)</f>
        <v/>
      </c>
      <c r="O11" s="5">
        <f>MAX(FLOOR(SUMIFS(Catálogo!$V:V,Catálogo!$A:$A,$A11),1000),400000)</f>
        <v/>
      </c>
      <c r="P11" s="5">
        <f>MAX(CEILING(SUMIFS(Catálogo!$W:W,Catálogo!$A:$A,$A11),1000),400000)</f>
        <v/>
      </c>
      <c r="Q11" s="8">
        <f>SUMIFS(Catálogo!$L:$L,Catálogo!$A:$A,$A11)</f>
        <v/>
      </c>
      <c r="R11" s="8">
        <f>SUMIFS(Catálogo!$M:$M,Catálogo!$A:$A,$A11)</f>
        <v/>
      </c>
      <c r="S11" s="5">
        <f>MAX(FLOOR(SUMIFS(Catálogo!$X:X,Catálogo!$A:$A,$A11),1000),400000)</f>
        <v/>
      </c>
      <c r="T11" s="5">
        <f>MAX(CEILING(SUMIFS(Catálogo!$Y:Y,Catálogo!$A:$A,$A11),1000),400000)</f>
        <v/>
      </c>
      <c r="U11" s="8">
        <f>SUMIFS(Catálogo!$N:$N,Catálogo!$A:$A,$A11)</f>
        <v/>
      </c>
      <c r="V11" s="8">
        <f>SUMIFS(Catálogo!$O:$O,Catálogo!$A:$A,$A11)</f>
        <v/>
      </c>
      <c r="W11" s="5">
        <f>MAX(FLOOR(SUMIFS(Catálogo!$Z:Z,Catálogo!$A:$A,$A11),1000),400000)</f>
        <v/>
      </c>
      <c r="X11" s="5">
        <f>MAX(CEILING(SUMIFS(Catálogo!$AA:AA,Catálogo!$A:$A,$A11),1000),400000)</f>
        <v/>
      </c>
      <c r="Y11" s="5">
        <f>I11</f>
        <v/>
      </c>
    </row>
    <row r="12">
      <c r="A12" t="inlineStr">
        <is>
          <t>RTA-03</t>
        </is>
      </c>
      <c r="B12" t="inlineStr">
        <is>
          <t>Modelo animado no interactuable</t>
        </is>
      </c>
      <c r="C12" t="inlineStr">
        <is>
          <t>asset-rt</t>
        </is>
      </c>
      <c r="D12" t="inlineStr">
        <is>
          <t>3-60</t>
        </is>
      </c>
      <c r="E12" s="8">
        <f>IF(SUMIFS(Catálogo!$F:$F,Catálogo!$A:$A,$A12)=0,SUMIFS(Catálogo!$H:$H,Catálogo!$A:$A,$A12),SUMIFS(Catálogo!$F:$F,Catálogo!$A:$A,$A12))</f>
        <v/>
      </c>
      <c r="F12" s="8">
        <f>IF(SUMIFS(Catálogo!$G:$G,Catálogo!$A:$A,$A12)=0,SUMIFS(Catálogo!$I:$I,Catálogo!$A:$A,$A12),SUMIFS(Catálogo!$G:$G,Catálogo!$A:$A,$A12))</f>
        <v/>
      </c>
      <c r="G12" s="5">
        <f>IF(SUMIFS(Catálogo!$F:$F,Catálogo!$A:$A,$A12)=0,MAX(FLOOR(SUMIFS(Catálogo!$T:$T,Catálogo!$A:$A,$A12),1000),400000),MAX(FLOOR(SUMIFS(Catálogo!$R:$R,Catálogo!$A:$A,$A12),1000),400000))</f>
        <v/>
      </c>
      <c r="H12" s="5">
        <f>IF(SUMIFS(Catálogo!$G:$G,Catálogo!$A:$A,$A12)=0,MAX(CEILING(SUMIFS(Catálogo!$U:$U,Catálogo!$A:$A,$A12),1000),400000),MAX(CEILING(SUMIFS(Catálogo!$S:$S,Catálogo!$A:$A,$A12),1000),400000))</f>
        <v/>
      </c>
      <c r="I12" s="8">
        <f>SUMIFS(Catálogo!$H:$H,Catálogo!$A:$A,$A12)</f>
        <v/>
      </c>
      <c r="J12" s="8">
        <f>SUMIFS(Catálogo!$I:$I,Catálogo!$A:$A,$A12)</f>
        <v/>
      </c>
      <c r="K12" s="5">
        <f>MAX(FLOOR(SUMIFS(Catálogo!$T:T,Catálogo!$A:$A,$A12),1000),400000)</f>
        <v/>
      </c>
      <c r="L12" s="5">
        <f>MAX(CEILING(SUMIFS(Catálogo!$U:U,Catálogo!$A:$A,$A12),1000),400000)</f>
        <v/>
      </c>
      <c r="M12" s="8">
        <f>SUMIFS(Catálogo!$J:$J,Catálogo!$A:$A,$A12)</f>
        <v/>
      </c>
      <c r="N12" s="8">
        <f>SUMIFS(Catálogo!$K:$K,Catálogo!$A:$A,$A12)</f>
        <v/>
      </c>
      <c r="O12" s="5">
        <f>MAX(FLOOR(SUMIFS(Catálogo!$V:V,Catálogo!$A:$A,$A12),1000),400000)</f>
        <v/>
      </c>
      <c r="P12" s="5">
        <f>MAX(CEILING(SUMIFS(Catálogo!$W:W,Catálogo!$A:$A,$A12),1000),400000)</f>
        <v/>
      </c>
      <c r="Q12" s="8">
        <f>SUMIFS(Catálogo!$L:$L,Catálogo!$A:$A,$A12)</f>
        <v/>
      </c>
      <c r="R12" s="8">
        <f>SUMIFS(Catálogo!$M:$M,Catálogo!$A:$A,$A12)</f>
        <v/>
      </c>
      <c r="S12" s="5">
        <f>MAX(FLOOR(SUMIFS(Catálogo!$X:X,Catálogo!$A:$A,$A12),1000),400000)</f>
        <v/>
      </c>
      <c r="T12" s="5">
        <f>MAX(CEILING(SUMIFS(Catálogo!$Y:Y,Catálogo!$A:$A,$A12),1000),400000)</f>
        <v/>
      </c>
      <c r="U12" s="8">
        <f>SUMIFS(Catálogo!$N:$N,Catálogo!$A:$A,$A12)</f>
        <v/>
      </c>
      <c r="V12" s="8">
        <f>SUMIFS(Catálogo!$O:$O,Catálogo!$A:$A,$A12)</f>
        <v/>
      </c>
      <c r="W12" s="5">
        <f>MAX(FLOOR(SUMIFS(Catálogo!$Z:Z,Catálogo!$A:$A,$A12),1000),400000)</f>
        <v/>
      </c>
      <c r="X12" s="5">
        <f>MAX(CEILING(SUMIFS(Catálogo!$AA:AA,Catálogo!$A:$A,$A12),1000),400000)</f>
        <v/>
      </c>
      <c r="Y12" s="5">
        <f>I12</f>
        <v/>
      </c>
    </row>
    <row r="13">
      <c r="A13" t="inlineStr">
        <is>
          <t>RTA-04</t>
        </is>
      </c>
      <c r="B13" t="inlineStr">
        <is>
          <t>Modelo animado interactuable</t>
        </is>
      </c>
      <c r="C13" t="inlineStr">
        <is>
          <t>asset-rt</t>
        </is>
      </c>
      <c r="D13" t="inlineStr">
        <is>
          <t>5-80</t>
        </is>
      </c>
      <c r="E13" s="8">
        <f>IF(SUMIFS(Catálogo!$F:$F,Catálogo!$A:$A,$A13)=0,SUMIFS(Catálogo!$H:$H,Catálogo!$A:$A,$A13),SUMIFS(Catálogo!$F:$F,Catálogo!$A:$A,$A13))</f>
        <v/>
      </c>
      <c r="F13" s="8">
        <f>IF(SUMIFS(Catálogo!$G:$G,Catálogo!$A:$A,$A13)=0,SUMIFS(Catálogo!$I:$I,Catálogo!$A:$A,$A13),SUMIFS(Catálogo!$G:$G,Catálogo!$A:$A,$A13))</f>
        <v/>
      </c>
      <c r="G13" s="5">
        <f>IF(SUMIFS(Catálogo!$F:$F,Catálogo!$A:$A,$A13)=0,MAX(FLOOR(SUMIFS(Catálogo!$T:$T,Catálogo!$A:$A,$A13),1000),400000),MAX(FLOOR(SUMIFS(Catálogo!$R:$R,Catálogo!$A:$A,$A13),1000),400000))</f>
        <v/>
      </c>
      <c r="H13" s="5">
        <f>IF(SUMIFS(Catálogo!$G:$G,Catálogo!$A:$A,$A13)=0,MAX(CEILING(SUMIFS(Catálogo!$U:$U,Catálogo!$A:$A,$A13),1000),400000),MAX(CEILING(SUMIFS(Catálogo!$S:$S,Catálogo!$A:$A,$A13),1000),400000))</f>
        <v/>
      </c>
      <c r="I13" s="8">
        <f>SUMIFS(Catálogo!$H:$H,Catálogo!$A:$A,$A13)</f>
        <v/>
      </c>
      <c r="J13" s="8">
        <f>SUMIFS(Catálogo!$I:$I,Catálogo!$A:$A,$A13)</f>
        <v/>
      </c>
      <c r="K13" s="5">
        <f>MAX(FLOOR(SUMIFS(Catálogo!$T:T,Catálogo!$A:$A,$A13),1000),400000)</f>
        <v/>
      </c>
      <c r="L13" s="5">
        <f>MAX(CEILING(SUMIFS(Catálogo!$U:U,Catálogo!$A:$A,$A13),1000),400000)</f>
        <v/>
      </c>
      <c r="M13" s="8">
        <f>SUMIFS(Catálogo!$J:$J,Catálogo!$A:$A,$A13)</f>
        <v/>
      </c>
      <c r="N13" s="8">
        <f>SUMIFS(Catálogo!$K:$K,Catálogo!$A:$A,$A13)</f>
        <v/>
      </c>
      <c r="O13" s="5">
        <f>MAX(FLOOR(SUMIFS(Catálogo!$V:V,Catálogo!$A:$A,$A13),1000),400000)</f>
        <v/>
      </c>
      <c r="P13" s="5">
        <f>MAX(CEILING(SUMIFS(Catálogo!$W:W,Catálogo!$A:$A,$A13),1000),400000)</f>
        <v/>
      </c>
      <c r="Q13" s="8">
        <f>SUMIFS(Catálogo!$L:$L,Catálogo!$A:$A,$A13)</f>
        <v/>
      </c>
      <c r="R13" s="8">
        <f>SUMIFS(Catálogo!$M:$M,Catálogo!$A:$A,$A13)</f>
        <v/>
      </c>
      <c r="S13" s="5">
        <f>MAX(FLOOR(SUMIFS(Catálogo!$X:X,Catálogo!$A:$A,$A13),1000),400000)</f>
        <v/>
      </c>
      <c r="T13" s="5">
        <f>MAX(CEILING(SUMIFS(Catálogo!$Y:Y,Catálogo!$A:$A,$A13),1000),400000)</f>
        <v/>
      </c>
      <c r="U13" s="8">
        <f>SUMIFS(Catálogo!$N:$N,Catálogo!$A:$A,$A13)</f>
        <v/>
      </c>
      <c r="V13" s="8">
        <f>SUMIFS(Catálogo!$O:$O,Catálogo!$A:$A,$A13)</f>
        <v/>
      </c>
      <c r="W13" s="5">
        <f>MAX(FLOOR(SUMIFS(Catálogo!$Z:Z,Catálogo!$A:$A,$A13),1000),400000)</f>
        <v/>
      </c>
      <c r="X13" s="5">
        <f>MAX(CEILING(SUMIFS(Catálogo!$AA:AA,Catálogo!$A:$A,$A13),1000),400000)</f>
        <v/>
      </c>
      <c r="Y13" s="5">
        <f>I13</f>
        <v/>
      </c>
    </row>
    <row r="14">
      <c r="A14" t="inlineStr">
        <is>
          <t>RTA-05</t>
        </is>
      </c>
      <c r="B14" t="inlineStr">
        <is>
          <t>Shaders estilizados</t>
        </is>
      </c>
      <c r="C14" t="inlineStr">
        <is>
          <t>asset-rt</t>
        </is>
      </c>
      <c r="D14" t="inlineStr">
        <is>
          <t>1-30</t>
        </is>
      </c>
      <c r="E14" s="8">
        <f>IF(SUMIFS(Catálogo!$F:$F,Catálogo!$A:$A,$A14)=0,SUMIFS(Catálogo!$H:$H,Catálogo!$A:$A,$A14),SUMIFS(Catálogo!$F:$F,Catálogo!$A:$A,$A14))</f>
        <v/>
      </c>
      <c r="F14" s="8">
        <f>IF(SUMIFS(Catálogo!$G:$G,Catálogo!$A:$A,$A14)=0,SUMIFS(Catálogo!$I:$I,Catálogo!$A:$A,$A14),SUMIFS(Catálogo!$G:$G,Catálogo!$A:$A,$A14))</f>
        <v/>
      </c>
      <c r="G14" s="5">
        <f>IF(SUMIFS(Catálogo!$F:$F,Catálogo!$A:$A,$A14)=0,MAX(FLOOR(SUMIFS(Catálogo!$T:$T,Catálogo!$A:$A,$A14),1000),400000),MAX(FLOOR(SUMIFS(Catálogo!$R:$R,Catálogo!$A:$A,$A14),1000),400000))</f>
        <v/>
      </c>
      <c r="H14" s="5">
        <f>IF(SUMIFS(Catálogo!$G:$G,Catálogo!$A:$A,$A14)=0,MAX(CEILING(SUMIFS(Catálogo!$U:$U,Catálogo!$A:$A,$A14),1000),400000),MAX(CEILING(SUMIFS(Catálogo!$S:$S,Catálogo!$A:$A,$A14),1000),400000))</f>
        <v/>
      </c>
      <c r="I14" s="8">
        <f>SUMIFS(Catálogo!$H:$H,Catálogo!$A:$A,$A14)</f>
        <v/>
      </c>
      <c r="J14" s="8">
        <f>SUMIFS(Catálogo!$I:$I,Catálogo!$A:$A,$A14)</f>
        <v/>
      </c>
      <c r="K14" s="5">
        <f>MAX(FLOOR(SUMIFS(Catálogo!$T:T,Catálogo!$A:$A,$A14),1000),400000)</f>
        <v/>
      </c>
      <c r="L14" s="5">
        <f>MAX(CEILING(SUMIFS(Catálogo!$U:U,Catálogo!$A:$A,$A14),1000),400000)</f>
        <v/>
      </c>
      <c r="M14" s="8">
        <f>SUMIFS(Catálogo!$J:$J,Catálogo!$A:$A,$A14)</f>
        <v/>
      </c>
      <c r="N14" s="8">
        <f>SUMIFS(Catálogo!$K:$K,Catálogo!$A:$A,$A14)</f>
        <v/>
      </c>
      <c r="O14" s="5">
        <f>MAX(FLOOR(SUMIFS(Catálogo!$V:V,Catálogo!$A:$A,$A14),1000),400000)</f>
        <v/>
      </c>
      <c r="P14" s="5">
        <f>MAX(CEILING(SUMIFS(Catálogo!$W:W,Catálogo!$A:$A,$A14),1000),400000)</f>
        <v/>
      </c>
      <c r="Q14" s="8">
        <f>SUMIFS(Catálogo!$L:$L,Catálogo!$A:$A,$A14)</f>
        <v/>
      </c>
      <c r="R14" s="8">
        <f>SUMIFS(Catálogo!$M:$M,Catálogo!$A:$A,$A14)</f>
        <v/>
      </c>
      <c r="S14" s="5">
        <f>MAX(FLOOR(SUMIFS(Catálogo!$X:X,Catálogo!$A:$A,$A14),1000),400000)</f>
        <v/>
      </c>
      <c r="T14" s="5">
        <f>MAX(CEILING(SUMIFS(Catálogo!$Y:Y,Catálogo!$A:$A,$A14),1000),400000)</f>
        <v/>
      </c>
      <c r="U14" s="8">
        <f>SUMIFS(Catálogo!$N:$N,Catálogo!$A:$A,$A14)</f>
        <v/>
      </c>
      <c r="V14" s="8">
        <f>SUMIFS(Catálogo!$O:$O,Catálogo!$A:$A,$A14)</f>
        <v/>
      </c>
      <c r="W14" s="5">
        <f>MAX(FLOOR(SUMIFS(Catálogo!$Z:Z,Catálogo!$A:$A,$A14),1000),400000)</f>
        <v/>
      </c>
      <c r="X14" s="5">
        <f>MAX(CEILING(SUMIFS(Catálogo!$AA:AA,Catálogo!$A:$A,$A14),1000),400000)</f>
        <v/>
      </c>
      <c r="Y14" s="5">
        <f>I14</f>
        <v/>
      </c>
    </row>
    <row r="15">
      <c r="A15" t="inlineStr">
        <is>
          <t>RTA-06</t>
        </is>
      </c>
      <c r="B15" t="inlineStr">
        <is>
          <t>Mecanicas sobre asset realtime</t>
        </is>
      </c>
      <c r="C15" t="inlineStr">
        <is>
          <t>asset-rt</t>
        </is>
      </c>
      <c r="D15" t="inlineStr">
        <is>
          <t>2-40</t>
        </is>
      </c>
      <c r="E15" s="8">
        <f>IF(SUMIFS(Catálogo!$F:$F,Catálogo!$A:$A,$A15)=0,SUMIFS(Catálogo!$H:$H,Catálogo!$A:$A,$A15),SUMIFS(Catálogo!$F:$F,Catálogo!$A:$A,$A15))</f>
        <v/>
      </c>
      <c r="F15" s="8">
        <f>IF(SUMIFS(Catálogo!$G:$G,Catálogo!$A:$A,$A15)=0,SUMIFS(Catálogo!$I:$I,Catálogo!$A:$A,$A15),SUMIFS(Catálogo!$G:$G,Catálogo!$A:$A,$A15))</f>
        <v/>
      </c>
      <c r="G15" s="5">
        <f>IF(SUMIFS(Catálogo!$F:$F,Catálogo!$A:$A,$A15)=0,MAX(FLOOR(SUMIFS(Catálogo!$T:$T,Catálogo!$A:$A,$A15),1000),400000),MAX(FLOOR(SUMIFS(Catálogo!$R:$R,Catálogo!$A:$A,$A15),1000),400000))</f>
        <v/>
      </c>
      <c r="H15" s="5">
        <f>IF(SUMIFS(Catálogo!$G:$G,Catálogo!$A:$A,$A15)=0,MAX(CEILING(SUMIFS(Catálogo!$U:$U,Catálogo!$A:$A,$A15),1000),400000),MAX(CEILING(SUMIFS(Catálogo!$S:$S,Catálogo!$A:$A,$A15),1000),400000))</f>
        <v/>
      </c>
      <c r="I15" s="8">
        <f>SUMIFS(Catálogo!$H:$H,Catálogo!$A:$A,$A15)</f>
        <v/>
      </c>
      <c r="J15" s="8">
        <f>SUMIFS(Catálogo!$I:$I,Catálogo!$A:$A,$A15)</f>
        <v/>
      </c>
      <c r="K15" s="5">
        <f>MAX(FLOOR(SUMIFS(Catálogo!$T:T,Catálogo!$A:$A,$A15),1000),400000)</f>
        <v/>
      </c>
      <c r="L15" s="5">
        <f>MAX(CEILING(SUMIFS(Catálogo!$U:U,Catálogo!$A:$A,$A15),1000),400000)</f>
        <v/>
      </c>
      <c r="M15" s="8">
        <f>SUMIFS(Catálogo!$J:$J,Catálogo!$A:$A,$A15)</f>
        <v/>
      </c>
      <c r="N15" s="8">
        <f>SUMIFS(Catálogo!$K:$K,Catálogo!$A:$A,$A15)</f>
        <v/>
      </c>
      <c r="O15" s="5">
        <f>MAX(FLOOR(SUMIFS(Catálogo!$V:V,Catálogo!$A:$A,$A15),1000),400000)</f>
        <v/>
      </c>
      <c r="P15" s="5">
        <f>MAX(CEILING(SUMIFS(Catálogo!$W:W,Catálogo!$A:$A,$A15),1000),400000)</f>
        <v/>
      </c>
      <c r="Q15" s="8">
        <f>SUMIFS(Catálogo!$L:$L,Catálogo!$A:$A,$A15)</f>
        <v/>
      </c>
      <c r="R15" s="8">
        <f>SUMIFS(Catálogo!$M:$M,Catálogo!$A:$A,$A15)</f>
        <v/>
      </c>
      <c r="S15" s="5">
        <f>MAX(FLOOR(SUMIFS(Catálogo!$X:X,Catálogo!$A:$A,$A15),1000),400000)</f>
        <v/>
      </c>
      <c r="T15" s="5">
        <f>MAX(CEILING(SUMIFS(Catálogo!$Y:Y,Catálogo!$A:$A,$A15),1000),400000)</f>
        <v/>
      </c>
      <c r="U15" s="8">
        <f>SUMIFS(Catálogo!$N:$N,Catálogo!$A:$A,$A15)</f>
        <v/>
      </c>
      <c r="V15" s="8">
        <f>SUMIFS(Catálogo!$O:$O,Catálogo!$A:$A,$A15)</f>
        <v/>
      </c>
      <c r="W15" s="5">
        <f>MAX(FLOOR(SUMIFS(Catálogo!$Z:Z,Catálogo!$A:$A,$A15),1000),400000)</f>
        <v/>
      </c>
      <c r="X15" s="5">
        <f>MAX(CEILING(SUMIFS(Catálogo!$AA:AA,Catálogo!$A:$A,$A15),1000),400000)</f>
        <v/>
      </c>
      <c r="Y15" s="5">
        <f>I15</f>
        <v/>
      </c>
    </row>
    <row r="16">
      <c r="A16" t="inlineStr">
        <is>
          <t>WEB-02</t>
        </is>
      </c>
      <c r="B16" t="inlineStr">
        <is>
          <t>Visor embebido (Spline/Sketchfab/model-viewer)</t>
        </is>
      </c>
      <c r="C16" t="inlineStr">
        <is>
          <t>web-3d</t>
        </is>
      </c>
      <c r="D16" t="inlineStr">
        <is>
          <t>1-15</t>
        </is>
      </c>
      <c r="E16" s="8">
        <f>IF(SUMIFS(Catálogo!$F:$F,Catálogo!$A:$A,$A16)=0,SUMIFS(Catálogo!$H:$H,Catálogo!$A:$A,$A16),SUMIFS(Catálogo!$F:$F,Catálogo!$A:$A,$A16))</f>
        <v/>
      </c>
      <c r="F16" s="8">
        <f>IF(SUMIFS(Catálogo!$G:$G,Catálogo!$A:$A,$A16)=0,SUMIFS(Catálogo!$I:$I,Catálogo!$A:$A,$A16),SUMIFS(Catálogo!$G:$G,Catálogo!$A:$A,$A16))</f>
        <v/>
      </c>
      <c r="G16" s="5">
        <f>IF(SUMIFS(Catálogo!$F:$F,Catálogo!$A:$A,$A16)=0,MAX(FLOOR(SUMIFS(Catálogo!$T:$T,Catálogo!$A:$A,$A16),1000),400000),MAX(FLOOR(SUMIFS(Catálogo!$R:$R,Catálogo!$A:$A,$A16),1000),400000))</f>
        <v/>
      </c>
      <c r="H16" s="5">
        <f>IF(SUMIFS(Catálogo!$G:$G,Catálogo!$A:$A,$A16)=0,MAX(CEILING(SUMIFS(Catálogo!$U:$U,Catálogo!$A:$A,$A16),1000),400000),MAX(CEILING(SUMIFS(Catálogo!$S:$S,Catálogo!$A:$A,$A16),1000),400000))</f>
        <v/>
      </c>
      <c r="I16" s="8">
        <f>SUMIFS(Catálogo!$H:$H,Catálogo!$A:$A,$A16)</f>
        <v/>
      </c>
      <c r="J16" s="8">
        <f>SUMIFS(Catálogo!$I:$I,Catálogo!$A:$A,$A16)</f>
        <v/>
      </c>
      <c r="K16" s="5">
        <f>MAX(FLOOR(SUMIFS(Catálogo!$T:T,Catálogo!$A:$A,$A16),1000),400000)</f>
        <v/>
      </c>
      <c r="L16" s="5">
        <f>MAX(CEILING(SUMIFS(Catálogo!$U:U,Catálogo!$A:$A,$A16),1000),400000)</f>
        <v/>
      </c>
      <c r="M16" s="8">
        <f>SUMIFS(Catálogo!$J:$J,Catálogo!$A:$A,$A16)</f>
        <v/>
      </c>
      <c r="N16" s="8">
        <f>SUMIFS(Catálogo!$K:$K,Catálogo!$A:$A,$A16)</f>
        <v/>
      </c>
      <c r="O16" s="5">
        <f>MAX(FLOOR(SUMIFS(Catálogo!$V:V,Catálogo!$A:$A,$A16),1000),400000)</f>
        <v/>
      </c>
      <c r="P16" s="5">
        <f>MAX(CEILING(SUMIFS(Catálogo!$W:W,Catálogo!$A:$A,$A16),1000),400000)</f>
        <v/>
      </c>
      <c r="Q16" s="8">
        <f>SUMIFS(Catálogo!$L:$L,Catálogo!$A:$A,$A16)</f>
        <v/>
      </c>
      <c r="R16" s="8">
        <f>SUMIFS(Catálogo!$M:$M,Catálogo!$A:$A,$A16)</f>
        <v/>
      </c>
      <c r="S16" s="5">
        <f>MAX(FLOOR(SUMIFS(Catálogo!$X:X,Catálogo!$A:$A,$A16),1000),400000)</f>
        <v/>
      </c>
      <c r="T16" s="5">
        <f>MAX(CEILING(SUMIFS(Catálogo!$Y:Y,Catálogo!$A:$A,$A16),1000),400000)</f>
        <v/>
      </c>
      <c r="U16" s="8">
        <f>SUMIFS(Catálogo!$N:$N,Catálogo!$A:$A,$A16)</f>
        <v/>
      </c>
      <c r="V16" s="8">
        <f>SUMIFS(Catálogo!$O:$O,Catálogo!$A:$A,$A16)</f>
        <v/>
      </c>
      <c r="W16" s="5">
        <f>MAX(FLOOR(SUMIFS(Catálogo!$Z:Z,Catálogo!$A:$A,$A16),1000),400000)</f>
        <v/>
      </c>
      <c r="X16" s="5">
        <f>MAX(CEILING(SUMIFS(Catálogo!$AA:AA,Catálogo!$A:$A,$A16),1000),400000)</f>
        <v/>
      </c>
      <c r="Y16" s="5">
        <f>I16</f>
        <v/>
      </c>
    </row>
    <row r="17">
      <c r="A17" t="inlineStr">
        <is>
          <t>WEB-03</t>
        </is>
      </c>
      <c r="B17" t="inlineStr">
        <is>
          <t>Unity WebGL: build y embedding</t>
        </is>
      </c>
      <c r="C17" t="inlineStr">
        <is>
          <t>web-3d</t>
        </is>
      </c>
      <c r="D17" t="inlineStr">
        <is>
          <t>3-70</t>
        </is>
      </c>
      <c r="E17" s="8">
        <f>IF(SUMIFS(Catálogo!$F:$F,Catálogo!$A:$A,$A17)=0,SUMIFS(Catálogo!$H:$H,Catálogo!$A:$A,$A17),SUMIFS(Catálogo!$F:$F,Catálogo!$A:$A,$A17))</f>
        <v/>
      </c>
      <c r="F17" s="8">
        <f>IF(SUMIFS(Catálogo!$G:$G,Catálogo!$A:$A,$A17)=0,SUMIFS(Catálogo!$I:$I,Catálogo!$A:$A,$A17),SUMIFS(Catálogo!$G:$G,Catálogo!$A:$A,$A17))</f>
        <v/>
      </c>
      <c r="G17" s="5">
        <f>IF(SUMIFS(Catálogo!$F:$F,Catálogo!$A:$A,$A17)=0,MAX(FLOOR(SUMIFS(Catálogo!$T:$T,Catálogo!$A:$A,$A17),1000),400000),MAX(FLOOR(SUMIFS(Catálogo!$R:$R,Catálogo!$A:$A,$A17),1000),400000))</f>
        <v/>
      </c>
      <c r="H17" s="5">
        <f>IF(SUMIFS(Catálogo!$G:$G,Catálogo!$A:$A,$A17)=0,MAX(CEILING(SUMIFS(Catálogo!$U:$U,Catálogo!$A:$A,$A17),1000),400000),MAX(CEILING(SUMIFS(Catálogo!$S:$S,Catálogo!$A:$A,$A17),1000),400000))</f>
        <v/>
      </c>
      <c r="I17" s="8">
        <f>SUMIFS(Catálogo!$H:$H,Catálogo!$A:$A,$A17)</f>
        <v/>
      </c>
      <c r="J17" s="8">
        <f>SUMIFS(Catálogo!$I:$I,Catálogo!$A:$A,$A17)</f>
        <v/>
      </c>
      <c r="K17" s="5">
        <f>MAX(FLOOR(SUMIFS(Catálogo!$T:T,Catálogo!$A:$A,$A17),1000),400000)</f>
        <v/>
      </c>
      <c r="L17" s="5">
        <f>MAX(CEILING(SUMIFS(Catálogo!$U:U,Catálogo!$A:$A,$A17),1000),400000)</f>
        <v/>
      </c>
      <c r="M17" s="8">
        <f>SUMIFS(Catálogo!$J:$J,Catálogo!$A:$A,$A17)</f>
        <v/>
      </c>
      <c r="N17" s="8">
        <f>SUMIFS(Catálogo!$K:$K,Catálogo!$A:$A,$A17)</f>
        <v/>
      </c>
      <c r="O17" s="5">
        <f>MAX(FLOOR(SUMIFS(Catálogo!$V:V,Catálogo!$A:$A,$A17),1000),400000)</f>
        <v/>
      </c>
      <c r="P17" s="5">
        <f>MAX(CEILING(SUMIFS(Catálogo!$W:W,Catálogo!$A:$A,$A17),1000),400000)</f>
        <v/>
      </c>
      <c r="Q17" s="8">
        <f>SUMIFS(Catálogo!$L:$L,Catálogo!$A:$A,$A17)</f>
        <v/>
      </c>
      <c r="R17" s="8">
        <f>SUMIFS(Catálogo!$M:$M,Catálogo!$A:$A,$A17)</f>
        <v/>
      </c>
      <c r="S17" s="5">
        <f>MAX(FLOOR(SUMIFS(Catálogo!$X:X,Catálogo!$A:$A,$A17),1000),400000)</f>
        <v/>
      </c>
      <c r="T17" s="5">
        <f>MAX(CEILING(SUMIFS(Catálogo!$Y:Y,Catálogo!$A:$A,$A17),1000),400000)</f>
        <v/>
      </c>
      <c r="U17" s="8">
        <f>SUMIFS(Catálogo!$N:$N,Catálogo!$A:$A,$A17)</f>
        <v/>
      </c>
      <c r="V17" s="8">
        <f>SUMIFS(Catálogo!$O:$O,Catálogo!$A:$A,$A17)</f>
        <v/>
      </c>
      <c r="W17" s="5">
        <f>MAX(FLOOR(SUMIFS(Catálogo!$Z:Z,Catálogo!$A:$A,$A17),1000),400000)</f>
        <v/>
      </c>
      <c r="X17" s="5">
        <f>MAX(CEILING(SUMIFS(Catálogo!$AA:AA,Catálogo!$A:$A,$A17),1000),400000)</f>
        <v/>
      </c>
      <c r="Y17" s="5">
        <f>I17</f>
        <v/>
      </c>
    </row>
    <row r="18">
      <c r="A18" t="inlineStr">
        <is>
          <t>WEB-05</t>
        </is>
      </c>
      <c r="B18" t="inlineStr">
        <is>
          <t>Scrollytelling con 3D</t>
        </is>
      </c>
      <c r="C18" t="inlineStr">
        <is>
          <t>web-3d</t>
        </is>
      </c>
      <c r="D18" t="inlineStr">
        <is>
          <t>4-120</t>
        </is>
      </c>
      <c r="E18" s="8">
        <f>IF(SUMIFS(Catálogo!$F:$F,Catálogo!$A:$A,$A18)=0,SUMIFS(Catálogo!$H:$H,Catálogo!$A:$A,$A18),SUMIFS(Catálogo!$F:$F,Catálogo!$A:$A,$A18))</f>
        <v/>
      </c>
      <c r="F18" s="8">
        <f>IF(SUMIFS(Catálogo!$G:$G,Catálogo!$A:$A,$A18)=0,SUMIFS(Catálogo!$I:$I,Catálogo!$A:$A,$A18),SUMIFS(Catálogo!$G:$G,Catálogo!$A:$A,$A18))</f>
        <v/>
      </c>
      <c r="G18" s="5">
        <f>IF(SUMIFS(Catálogo!$F:$F,Catálogo!$A:$A,$A18)=0,MAX(FLOOR(SUMIFS(Catálogo!$T:$T,Catálogo!$A:$A,$A18),1000),400000),MAX(FLOOR(SUMIFS(Catálogo!$R:$R,Catálogo!$A:$A,$A18),1000),400000))</f>
        <v/>
      </c>
      <c r="H18" s="5">
        <f>IF(SUMIFS(Catálogo!$G:$G,Catálogo!$A:$A,$A18)=0,MAX(CEILING(SUMIFS(Catálogo!$U:$U,Catálogo!$A:$A,$A18),1000),400000),MAX(CEILING(SUMIFS(Catálogo!$S:$S,Catálogo!$A:$A,$A18),1000),400000))</f>
        <v/>
      </c>
      <c r="I18" s="8">
        <f>SUMIFS(Catálogo!$H:$H,Catálogo!$A:$A,$A18)</f>
        <v/>
      </c>
      <c r="J18" s="8">
        <f>SUMIFS(Catálogo!$I:$I,Catálogo!$A:$A,$A18)</f>
        <v/>
      </c>
      <c r="K18" s="5">
        <f>MAX(FLOOR(SUMIFS(Catálogo!$T:T,Catálogo!$A:$A,$A18),1000),400000)</f>
        <v/>
      </c>
      <c r="L18" s="5">
        <f>MAX(CEILING(SUMIFS(Catálogo!$U:U,Catálogo!$A:$A,$A18),1000),400000)</f>
        <v/>
      </c>
      <c r="M18" s="8">
        <f>SUMIFS(Catálogo!$J:$J,Catálogo!$A:$A,$A18)</f>
        <v/>
      </c>
      <c r="N18" s="8">
        <f>SUMIFS(Catálogo!$K:$K,Catálogo!$A:$A,$A18)</f>
        <v/>
      </c>
      <c r="O18" s="5">
        <f>MAX(FLOOR(SUMIFS(Catálogo!$V:V,Catálogo!$A:$A,$A18),1000),400000)</f>
        <v/>
      </c>
      <c r="P18" s="5">
        <f>MAX(CEILING(SUMIFS(Catálogo!$W:W,Catálogo!$A:$A,$A18),1000),400000)</f>
        <v/>
      </c>
      <c r="Q18" s="8">
        <f>SUMIFS(Catálogo!$L:$L,Catálogo!$A:$A,$A18)</f>
        <v/>
      </c>
      <c r="R18" s="8">
        <f>SUMIFS(Catálogo!$M:$M,Catálogo!$A:$A,$A18)</f>
        <v/>
      </c>
      <c r="S18" s="5">
        <f>MAX(FLOOR(SUMIFS(Catálogo!$X:X,Catálogo!$A:$A,$A18),1000),400000)</f>
        <v/>
      </c>
      <c r="T18" s="5">
        <f>MAX(CEILING(SUMIFS(Catálogo!$Y:Y,Catálogo!$A:$A,$A18),1000),400000)</f>
        <v/>
      </c>
      <c r="U18" s="8">
        <f>SUMIFS(Catálogo!$N:$N,Catálogo!$A:$A,$A18)</f>
        <v/>
      </c>
      <c r="V18" s="8">
        <f>SUMIFS(Catálogo!$O:$O,Catálogo!$A:$A,$A18)</f>
        <v/>
      </c>
      <c r="W18" s="5">
        <f>MAX(FLOOR(SUMIFS(Catálogo!$Z:Z,Catálogo!$A:$A,$A18),1000),400000)</f>
        <v/>
      </c>
      <c r="X18" s="5">
        <f>MAX(CEILING(SUMIFS(Catálogo!$AA:AA,Catálogo!$A:$A,$A18),1000),400000)</f>
        <v/>
      </c>
      <c r="Y18" s="5">
        <f>I18</f>
        <v/>
      </c>
    </row>
    <row r="19">
      <c r="A19" t="inlineStr">
        <is>
          <t>WEB-06</t>
        </is>
      </c>
      <c r="B19" t="inlineStr">
        <is>
          <t>Minijuego web</t>
        </is>
      </c>
      <c r="C19" t="inlineStr">
        <is>
          <t>web-3d</t>
        </is>
      </c>
      <c r="D19" t="inlineStr">
        <is>
          <t>15-180</t>
        </is>
      </c>
      <c r="E19" s="8">
        <f>IF(SUMIFS(Catálogo!$F:$F,Catálogo!$A:$A,$A19)=0,SUMIFS(Catálogo!$H:$H,Catálogo!$A:$A,$A19),SUMIFS(Catálogo!$F:$F,Catálogo!$A:$A,$A19))</f>
        <v/>
      </c>
      <c r="F19" s="8">
        <f>IF(SUMIFS(Catálogo!$G:$G,Catálogo!$A:$A,$A19)=0,SUMIFS(Catálogo!$I:$I,Catálogo!$A:$A,$A19),SUMIFS(Catálogo!$G:$G,Catálogo!$A:$A,$A19))</f>
        <v/>
      </c>
      <c r="G19" s="5">
        <f>IF(SUMIFS(Catálogo!$F:$F,Catálogo!$A:$A,$A19)=0,MAX(FLOOR(SUMIFS(Catálogo!$T:$T,Catálogo!$A:$A,$A19),1000),400000),MAX(FLOOR(SUMIFS(Catálogo!$R:$R,Catálogo!$A:$A,$A19),1000),400000))</f>
        <v/>
      </c>
      <c r="H19" s="5">
        <f>IF(SUMIFS(Catálogo!$G:$G,Catálogo!$A:$A,$A19)=0,MAX(CEILING(SUMIFS(Catálogo!$U:$U,Catálogo!$A:$A,$A19),1000),400000),MAX(CEILING(SUMIFS(Catálogo!$S:$S,Catálogo!$A:$A,$A19),1000),400000))</f>
        <v/>
      </c>
      <c r="I19" s="8">
        <f>SUMIFS(Catálogo!$H:$H,Catálogo!$A:$A,$A19)</f>
        <v/>
      </c>
      <c r="J19" s="8">
        <f>SUMIFS(Catálogo!$I:$I,Catálogo!$A:$A,$A19)</f>
        <v/>
      </c>
      <c r="K19" s="5">
        <f>MAX(FLOOR(SUMIFS(Catálogo!$T:T,Catálogo!$A:$A,$A19),1000),400000)</f>
        <v/>
      </c>
      <c r="L19" s="5">
        <f>MAX(CEILING(SUMIFS(Catálogo!$U:U,Catálogo!$A:$A,$A19),1000),400000)</f>
        <v/>
      </c>
      <c r="M19" s="8">
        <f>SUMIFS(Catálogo!$J:$J,Catálogo!$A:$A,$A19)</f>
        <v/>
      </c>
      <c r="N19" s="8">
        <f>SUMIFS(Catálogo!$K:$K,Catálogo!$A:$A,$A19)</f>
        <v/>
      </c>
      <c r="O19" s="5">
        <f>MAX(FLOOR(SUMIFS(Catálogo!$V:V,Catálogo!$A:$A,$A19),1000),400000)</f>
        <v/>
      </c>
      <c r="P19" s="5">
        <f>MAX(CEILING(SUMIFS(Catálogo!$W:W,Catálogo!$A:$A,$A19),1000),400000)</f>
        <v/>
      </c>
      <c r="Q19" s="8">
        <f>SUMIFS(Catálogo!$L:$L,Catálogo!$A:$A,$A19)</f>
        <v/>
      </c>
      <c r="R19" s="8">
        <f>SUMIFS(Catálogo!$M:$M,Catálogo!$A:$A,$A19)</f>
        <v/>
      </c>
      <c r="S19" s="5">
        <f>MAX(FLOOR(SUMIFS(Catálogo!$X:X,Catálogo!$A:$A,$A19),1000),400000)</f>
        <v/>
      </c>
      <c r="T19" s="5">
        <f>MAX(CEILING(SUMIFS(Catálogo!$Y:Y,Catálogo!$A:$A,$A19),1000),400000)</f>
        <v/>
      </c>
      <c r="U19" s="8">
        <f>SUMIFS(Catálogo!$N:$N,Catálogo!$A:$A,$A19)</f>
        <v/>
      </c>
      <c r="V19" s="8">
        <f>SUMIFS(Catálogo!$O:$O,Catálogo!$A:$A,$A19)</f>
        <v/>
      </c>
      <c r="W19" s="5">
        <f>MAX(FLOOR(SUMIFS(Catálogo!$Z:Z,Catálogo!$A:$A,$A19),1000),400000)</f>
        <v/>
      </c>
      <c r="X19" s="5">
        <f>MAX(CEILING(SUMIFS(Catálogo!$AA:AA,Catálogo!$A:$A,$A19),1000),400000)</f>
        <v/>
      </c>
      <c r="Y19" s="5">
        <f>I19</f>
        <v/>
      </c>
    </row>
    <row r="20">
      <c r="A20" t="inlineStr">
        <is>
          <t>WEB-07</t>
        </is>
      </c>
      <c r="B20" t="inlineStr">
        <is>
          <t>Catalogo interactivo 3D</t>
        </is>
      </c>
      <c r="C20" t="inlineStr">
        <is>
          <t>web-3d</t>
        </is>
      </c>
      <c r="D20" t="inlineStr">
        <is>
          <t>10-160</t>
        </is>
      </c>
      <c r="E20" s="8">
        <f>IF(SUMIFS(Catálogo!$F:$F,Catálogo!$A:$A,$A20)=0,SUMIFS(Catálogo!$H:$H,Catálogo!$A:$A,$A20),SUMIFS(Catálogo!$F:$F,Catálogo!$A:$A,$A20))</f>
        <v/>
      </c>
      <c r="F20" s="8">
        <f>IF(SUMIFS(Catálogo!$G:$G,Catálogo!$A:$A,$A20)=0,SUMIFS(Catálogo!$I:$I,Catálogo!$A:$A,$A20),SUMIFS(Catálogo!$G:$G,Catálogo!$A:$A,$A20))</f>
        <v/>
      </c>
      <c r="G20" s="5">
        <f>IF(SUMIFS(Catálogo!$F:$F,Catálogo!$A:$A,$A20)=0,MAX(FLOOR(SUMIFS(Catálogo!$T:$T,Catálogo!$A:$A,$A20),1000),400000),MAX(FLOOR(SUMIFS(Catálogo!$R:$R,Catálogo!$A:$A,$A20),1000),400000))</f>
        <v/>
      </c>
      <c r="H20" s="5">
        <f>IF(SUMIFS(Catálogo!$G:$G,Catálogo!$A:$A,$A20)=0,MAX(CEILING(SUMIFS(Catálogo!$U:$U,Catálogo!$A:$A,$A20),1000),400000),MAX(CEILING(SUMIFS(Catálogo!$S:$S,Catálogo!$A:$A,$A20),1000),400000))</f>
        <v/>
      </c>
      <c r="I20" s="8">
        <f>SUMIFS(Catálogo!$H:$H,Catálogo!$A:$A,$A20)</f>
        <v/>
      </c>
      <c r="J20" s="8">
        <f>SUMIFS(Catálogo!$I:$I,Catálogo!$A:$A,$A20)</f>
        <v/>
      </c>
      <c r="K20" s="5">
        <f>MAX(FLOOR(SUMIFS(Catálogo!$T:T,Catálogo!$A:$A,$A20),1000),400000)</f>
        <v/>
      </c>
      <c r="L20" s="5">
        <f>MAX(CEILING(SUMIFS(Catálogo!$U:U,Catálogo!$A:$A,$A20),1000),400000)</f>
        <v/>
      </c>
      <c r="M20" s="8">
        <f>SUMIFS(Catálogo!$J:$J,Catálogo!$A:$A,$A20)</f>
        <v/>
      </c>
      <c r="N20" s="8">
        <f>SUMIFS(Catálogo!$K:$K,Catálogo!$A:$A,$A20)</f>
        <v/>
      </c>
      <c r="O20" s="5">
        <f>MAX(FLOOR(SUMIFS(Catálogo!$V:V,Catálogo!$A:$A,$A20),1000),400000)</f>
        <v/>
      </c>
      <c r="P20" s="5">
        <f>MAX(CEILING(SUMIFS(Catálogo!$W:W,Catálogo!$A:$A,$A20),1000),400000)</f>
        <v/>
      </c>
      <c r="Q20" s="8">
        <f>SUMIFS(Catálogo!$L:$L,Catálogo!$A:$A,$A20)</f>
        <v/>
      </c>
      <c r="R20" s="8">
        <f>SUMIFS(Catálogo!$M:$M,Catálogo!$A:$A,$A20)</f>
        <v/>
      </c>
      <c r="S20" s="5">
        <f>MAX(FLOOR(SUMIFS(Catálogo!$X:X,Catálogo!$A:$A,$A20),1000),400000)</f>
        <v/>
      </c>
      <c r="T20" s="5">
        <f>MAX(CEILING(SUMIFS(Catálogo!$Y:Y,Catálogo!$A:$A,$A20),1000),400000)</f>
        <v/>
      </c>
      <c r="U20" s="8">
        <f>SUMIFS(Catálogo!$N:$N,Catálogo!$A:$A,$A20)</f>
        <v/>
      </c>
      <c r="V20" s="8">
        <f>SUMIFS(Catálogo!$O:$O,Catálogo!$A:$A,$A20)</f>
        <v/>
      </c>
      <c r="W20" s="5">
        <f>MAX(FLOOR(SUMIFS(Catálogo!$Z:Z,Catálogo!$A:$A,$A20),1000),400000)</f>
        <v/>
      </c>
      <c r="X20" s="5">
        <f>MAX(CEILING(SUMIFS(Catálogo!$AA:AA,Catálogo!$A:$A,$A20),1000),400000)</f>
        <v/>
      </c>
      <c r="Y20" s="5">
        <f>I20</f>
        <v/>
      </c>
    </row>
    <row r="21">
      <c r="A21" t="inlineStr">
        <is>
          <t>WEB-08</t>
        </is>
      </c>
      <c r="B21" t="inlineStr">
        <is>
          <t>Presentacion web interactiva</t>
        </is>
      </c>
      <c r="C21" t="inlineStr">
        <is>
          <t>web-3d</t>
        </is>
      </c>
      <c r="D21" t="inlineStr">
        <is>
          <t>3-60</t>
        </is>
      </c>
      <c r="E21" s="8">
        <f>IF(SUMIFS(Catálogo!$F:$F,Catálogo!$A:$A,$A21)=0,SUMIFS(Catálogo!$H:$H,Catálogo!$A:$A,$A21),SUMIFS(Catálogo!$F:$F,Catálogo!$A:$A,$A21))</f>
        <v/>
      </c>
      <c r="F21" s="8">
        <f>IF(SUMIFS(Catálogo!$G:$G,Catálogo!$A:$A,$A21)=0,SUMIFS(Catálogo!$I:$I,Catálogo!$A:$A,$A21),SUMIFS(Catálogo!$G:$G,Catálogo!$A:$A,$A21))</f>
        <v/>
      </c>
      <c r="G21" s="5">
        <f>IF(SUMIFS(Catálogo!$F:$F,Catálogo!$A:$A,$A21)=0,MAX(FLOOR(SUMIFS(Catálogo!$T:$T,Catálogo!$A:$A,$A21),1000),400000),MAX(FLOOR(SUMIFS(Catálogo!$R:$R,Catálogo!$A:$A,$A21),1000),400000))</f>
        <v/>
      </c>
      <c r="H21" s="5">
        <f>IF(SUMIFS(Catálogo!$G:$G,Catálogo!$A:$A,$A21)=0,MAX(CEILING(SUMIFS(Catálogo!$U:$U,Catálogo!$A:$A,$A21),1000),400000),MAX(CEILING(SUMIFS(Catálogo!$S:$S,Catálogo!$A:$A,$A21),1000),400000))</f>
        <v/>
      </c>
      <c r="I21" s="8">
        <f>SUMIFS(Catálogo!$H:$H,Catálogo!$A:$A,$A21)</f>
        <v/>
      </c>
      <c r="J21" s="8">
        <f>SUMIFS(Catálogo!$I:$I,Catálogo!$A:$A,$A21)</f>
        <v/>
      </c>
      <c r="K21" s="5">
        <f>MAX(FLOOR(SUMIFS(Catálogo!$T:T,Catálogo!$A:$A,$A21),1000),400000)</f>
        <v/>
      </c>
      <c r="L21" s="5">
        <f>MAX(CEILING(SUMIFS(Catálogo!$U:U,Catálogo!$A:$A,$A21),1000),400000)</f>
        <v/>
      </c>
      <c r="M21" s="8">
        <f>SUMIFS(Catálogo!$J:$J,Catálogo!$A:$A,$A21)</f>
        <v/>
      </c>
      <c r="N21" s="8">
        <f>SUMIFS(Catálogo!$K:$K,Catálogo!$A:$A,$A21)</f>
        <v/>
      </c>
      <c r="O21" s="5">
        <f>MAX(FLOOR(SUMIFS(Catálogo!$V:V,Catálogo!$A:$A,$A21),1000),400000)</f>
        <v/>
      </c>
      <c r="P21" s="5">
        <f>MAX(CEILING(SUMIFS(Catálogo!$W:W,Catálogo!$A:$A,$A21),1000),400000)</f>
        <v/>
      </c>
      <c r="Q21" s="8">
        <f>SUMIFS(Catálogo!$L:$L,Catálogo!$A:$A,$A21)</f>
        <v/>
      </c>
      <c r="R21" s="8">
        <f>SUMIFS(Catálogo!$M:$M,Catálogo!$A:$A,$A21)</f>
        <v/>
      </c>
      <c r="S21" s="5">
        <f>MAX(FLOOR(SUMIFS(Catálogo!$X:X,Catálogo!$A:$A,$A21),1000),400000)</f>
        <v/>
      </c>
      <c r="T21" s="5">
        <f>MAX(CEILING(SUMIFS(Catálogo!$Y:Y,Catálogo!$A:$A,$A21),1000),400000)</f>
        <v/>
      </c>
      <c r="U21" s="8">
        <f>SUMIFS(Catálogo!$N:$N,Catálogo!$A:$A,$A21)</f>
        <v/>
      </c>
      <c r="V21" s="8">
        <f>SUMIFS(Catálogo!$O:$O,Catálogo!$A:$A,$A21)</f>
        <v/>
      </c>
      <c r="W21" s="5">
        <f>MAX(FLOOR(SUMIFS(Catálogo!$Z:Z,Catálogo!$A:$A,$A21),1000),400000)</f>
        <v/>
      </c>
      <c r="X21" s="5">
        <f>MAX(CEILING(SUMIFS(Catálogo!$AA:AA,Catálogo!$A:$A,$A21),1000),400000)</f>
        <v/>
      </c>
      <c r="Y21" s="5">
        <f>I21</f>
        <v/>
      </c>
    </row>
    <row r="22">
      <c r="A22" t="inlineStr">
        <is>
          <t>AI-02</t>
        </is>
      </c>
      <c r="B22" t="inlineStr">
        <is>
          <t>IA indirecta en producto web</t>
        </is>
      </c>
      <c r="C22" t="inlineStr">
        <is>
          <t>ia</t>
        </is>
      </c>
      <c r="D22" t="inlineStr">
        <is>
          <t>5-140</t>
        </is>
      </c>
      <c r="E22" s="8">
        <f>IF(SUMIFS(Catálogo!$F:$F,Catálogo!$A:$A,$A22)=0,SUMIFS(Catálogo!$H:$H,Catálogo!$A:$A,$A22),SUMIFS(Catálogo!$F:$F,Catálogo!$A:$A,$A22))</f>
        <v/>
      </c>
      <c r="F22" s="8">
        <f>IF(SUMIFS(Catálogo!$G:$G,Catálogo!$A:$A,$A22)=0,SUMIFS(Catálogo!$I:$I,Catálogo!$A:$A,$A22),SUMIFS(Catálogo!$G:$G,Catálogo!$A:$A,$A22))</f>
        <v/>
      </c>
      <c r="G22" s="5">
        <f>IF(SUMIFS(Catálogo!$F:$F,Catálogo!$A:$A,$A22)=0,MAX(FLOOR(SUMIFS(Catálogo!$T:$T,Catálogo!$A:$A,$A22),1000),400000),MAX(FLOOR(SUMIFS(Catálogo!$R:$R,Catálogo!$A:$A,$A22),1000),400000))</f>
        <v/>
      </c>
      <c r="H22" s="5">
        <f>IF(SUMIFS(Catálogo!$G:$G,Catálogo!$A:$A,$A22)=0,MAX(CEILING(SUMIFS(Catálogo!$U:$U,Catálogo!$A:$A,$A22),1000),400000),MAX(CEILING(SUMIFS(Catálogo!$S:$S,Catálogo!$A:$A,$A22),1000),400000))</f>
        <v/>
      </c>
      <c r="I22" s="8">
        <f>SUMIFS(Catálogo!$H:$H,Catálogo!$A:$A,$A22)</f>
        <v/>
      </c>
      <c r="J22" s="8">
        <f>SUMIFS(Catálogo!$I:$I,Catálogo!$A:$A,$A22)</f>
        <v/>
      </c>
      <c r="K22" s="5">
        <f>MAX(FLOOR(SUMIFS(Catálogo!$T:T,Catálogo!$A:$A,$A22),1000),400000)</f>
        <v/>
      </c>
      <c r="L22" s="5">
        <f>MAX(CEILING(SUMIFS(Catálogo!$U:U,Catálogo!$A:$A,$A22),1000),400000)</f>
        <v/>
      </c>
      <c r="M22" s="8">
        <f>SUMIFS(Catálogo!$J:$J,Catálogo!$A:$A,$A22)</f>
        <v/>
      </c>
      <c r="N22" s="8">
        <f>SUMIFS(Catálogo!$K:$K,Catálogo!$A:$A,$A22)</f>
        <v/>
      </c>
      <c r="O22" s="5">
        <f>MAX(FLOOR(SUMIFS(Catálogo!$V:V,Catálogo!$A:$A,$A22),1000),400000)</f>
        <v/>
      </c>
      <c r="P22" s="5">
        <f>MAX(CEILING(SUMIFS(Catálogo!$W:W,Catálogo!$A:$A,$A22),1000),400000)</f>
        <v/>
      </c>
      <c r="Q22" s="8">
        <f>SUMIFS(Catálogo!$L:$L,Catálogo!$A:$A,$A22)</f>
        <v/>
      </c>
      <c r="R22" s="8">
        <f>SUMIFS(Catálogo!$M:$M,Catálogo!$A:$A,$A22)</f>
        <v/>
      </c>
      <c r="S22" s="5">
        <f>MAX(FLOOR(SUMIFS(Catálogo!$X:X,Catálogo!$A:$A,$A22),1000),400000)</f>
        <v/>
      </c>
      <c r="T22" s="5">
        <f>MAX(CEILING(SUMIFS(Catálogo!$Y:Y,Catálogo!$A:$A,$A22),1000),400000)</f>
        <v/>
      </c>
      <c r="U22" s="8">
        <f>SUMIFS(Catálogo!$N:$N,Catálogo!$A:$A,$A22)</f>
        <v/>
      </c>
      <c r="V22" s="8">
        <f>SUMIFS(Catálogo!$O:$O,Catálogo!$A:$A,$A22)</f>
        <v/>
      </c>
      <c r="W22" s="5">
        <f>MAX(FLOOR(SUMIFS(Catálogo!$Z:Z,Catálogo!$A:$A,$A22),1000),400000)</f>
        <v/>
      </c>
      <c r="X22" s="5">
        <f>MAX(CEILING(SUMIFS(Catálogo!$AA:AA,Catálogo!$A:$A,$A22),1000),400000)</f>
        <v/>
      </c>
      <c r="Y22" s="5">
        <f>I22</f>
        <v/>
      </c>
    </row>
    <row r="23">
      <c r="A23" t="inlineStr">
        <is>
          <t>AI-03</t>
        </is>
      </c>
      <c r="B23" t="inlineStr">
        <is>
          <t>Automatizacion interna con LLM</t>
        </is>
      </c>
      <c r="C23" t="inlineStr">
        <is>
          <t>ia</t>
        </is>
      </c>
      <c r="D23" t="inlineStr">
        <is>
          <t>10-170</t>
        </is>
      </c>
      <c r="E23" s="8">
        <f>IF(SUMIFS(Catálogo!$F:$F,Catálogo!$A:$A,$A23)=0,SUMIFS(Catálogo!$H:$H,Catálogo!$A:$A,$A23),SUMIFS(Catálogo!$F:$F,Catálogo!$A:$A,$A23))</f>
        <v/>
      </c>
      <c r="F23" s="8">
        <f>IF(SUMIFS(Catálogo!$G:$G,Catálogo!$A:$A,$A23)=0,SUMIFS(Catálogo!$I:$I,Catálogo!$A:$A,$A23),SUMIFS(Catálogo!$G:$G,Catálogo!$A:$A,$A23))</f>
        <v/>
      </c>
      <c r="G23" s="5">
        <f>IF(SUMIFS(Catálogo!$F:$F,Catálogo!$A:$A,$A23)=0,MAX(FLOOR(SUMIFS(Catálogo!$T:$T,Catálogo!$A:$A,$A23),1000),400000),MAX(FLOOR(SUMIFS(Catálogo!$R:$R,Catálogo!$A:$A,$A23),1000),400000))</f>
        <v/>
      </c>
      <c r="H23" s="5">
        <f>IF(SUMIFS(Catálogo!$G:$G,Catálogo!$A:$A,$A23)=0,MAX(CEILING(SUMIFS(Catálogo!$U:$U,Catálogo!$A:$A,$A23),1000),400000),MAX(CEILING(SUMIFS(Catálogo!$S:$S,Catálogo!$A:$A,$A23),1000),400000))</f>
        <v/>
      </c>
      <c r="I23" s="8">
        <f>SUMIFS(Catálogo!$H:$H,Catálogo!$A:$A,$A23)</f>
        <v/>
      </c>
      <c r="J23" s="8">
        <f>SUMIFS(Catálogo!$I:$I,Catálogo!$A:$A,$A23)</f>
        <v/>
      </c>
      <c r="K23" s="5">
        <f>MAX(FLOOR(SUMIFS(Catálogo!$T:T,Catálogo!$A:$A,$A23),1000),400000)</f>
        <v/>
      </c>
      <c r="L23" s="5">
        <f>MAX(CEILING(SUMIFS(Catálogo!$U:U,Catálogo!$A:$A,$A23),1000),400000)</f>
        <v/>
      </c>
      <c r="M23" s="8">
        <f>SUMIFS(Catálogo!$J:$J,Catálogo!$A:$A,$A23)</f>
        <v/>
      </c>
      <c r="N23" s="8">
        <f>SUMIFS(Catálogo!$K:$K,Catálogo!$A:$A,$A23)</f>
        <v/>
      </c>
      <c r="O23" s="5">
        <f>MAX(FLOOR(SUMIFS(Catálogo!$V:V,Catálogo!$A:$A,$A23),1000),400000)</f>
        <v/>
      </c>
      <c r="P23" s="5">
        <f>MAX(CEILING(SUMIFS(Catálogo!$W:W,Catálogo!$A:$A,$A23),1000),400000)</f>
        <v/>
      </c>
      <c r="Q23" s="8">
        <f>SUMIFS(Catálogo!$L:$L,Catálogo!$A:$A,$A23)</f>
        <v/>
      </c>
      <c r="R23" s="8">
        <f>SUMIFS(Catálogo!$M:$M,Catálogo!$A:$A,$A23)</f>
        <v/>
      </c>
      <c r="S23" s="5">
        <f>MAX(FLOOR(SUMIFS(Catálogo!$X:X,Catálogo!$A:$A,$A23),1000),400000)</f>
        <v/>
      </c>
      <c r="T23" s="5">
        <f>MAX(CEILING(SUMIFS(Catálogo!$Y:Y,Catálogo!$A:$A,$A23),1000),400000)</f>
        <v/>
      </c>
      <c r="U23" s="8">
        <f>SUMIFS(Catálogo!$N:$N,Catálogo!$A:$A,$A23)</f>
        <v/>
      </c>
      <c r="V23" s="8">
        <f>SUMIFS(Catálogo!$O:$O,Catálogo!$A:$A,$A23)</f>
        <v/>
      </c>
      <c r="W23" s="5">
        <f>MAX(FLOOR(SUMIFS(Catálogo!$Z:Z,Catálogo!$A:$A,$A23),1000),400000)</f>
        <v/>
      </c>
      <c r="X23" s="5">
        <f>MAX(CEILING(SUMIFS(Catálogo!$AA:AA,Catálogo!$A:$A,$A23),1000),400000)</f>
        <v/>
      </c>
      <c r="Y23" s="5">
        <f>I23</f>
        <v/>
      </c>
    </row>
    <row r="24">
      <c r="A24" t="inlineStr">
        <is>
          <t>AI-04</t>
        </is>
      </c>
      <c r="B24" t="inlineStr">
        <is>
          <t>Consultoria y auditoria de IA</t>
        </is>
      </c>
      <c r="C24" t="inlineStr">
        <is>
          <t>ia</t>
        </is>
      </c>
      <c r="D24" t="inlineStr">
        <is>
          <t>5-40</t>
        </is>
      </c>
      <c r="E24" s="8">
        <f>IF(SUMIFS(Catálogo!$F:$F,Catálogo!$A:$A,$A24)=0,SUMIFS(Catálogo!$H:$H,Catálogo!$A:$A,$A24),SUMIFS(Catálogo!$F:$F,Catálogo!$A:$A,$A24))</f>
        <v/>
      </c>
      <c r="F24" s="8">
        <f>IF(SUMIFS(Catálogo!$G:$G,Catálogo!$A:$A,$A24)=0,SUMIFS(Catálogo!$I:$I,Catálogo!$A:$A,$A24),SUMIFS(Catálogo!$G:$G,Catálogo!$A:$A,$A24))</f>
        <v/>
      </c>
      <c r="G24" s="5">
        <f>IF(SUMIFS(Catálogo!$F:$F,Catálogo!$A:$A,$A24)=0,MAX(FLOOR(SUMIFS(Catálogo!$T:$T,Catálogo!$A:$A,$A24),1000),400000),MAX(FLOOR(SUMIFS(Catálogo!$R:$R,Catálogo!$A:$A,$A24),1000),400000))</f>
        <v/>
      </c>
      <c r="H24" s="5">
        <f>IF(SUMIFS(Catálogo!$G:$G,Catálogo!$A:$A,$A24)=0,MAX(CEILING(SUMIFS(Catálogo!$U:$U,Catálogo!$A:$A,$A24),1000),400000),MAX(CEILING(SUMIFS(Catálogo!$S:$S,Catálogo!$A:$A,$A24),1000),400000))</f>
        <v/>
      </c>
      <c r="I24" s="8">
        <f>SUMIFS(Catálogo!$H:$H,Catálogo!$A:$A,$A24)</f>
        <v/>
      </c>
      <c r="J24" s="8">
        <f>SUMIFS(Catálogo!$I:$I,Catálogo!$A:$A,$A24)</f>
        <v/>
      </c>
      <c r="K24" s="5">
        <f>MAX(FLOOR(SUMIFS(Catálogo!$T:T,Catálogo!$A:$A,$A24),1000),400000)</f>
        <v/>
      </c>
      <c r="L24" s="5">
        <f>MAX(CEILING(SUMIFS(Catálogo!$U:U,Catálogo!$A:$A,$A24),1000),400000)</f>
        <v/>
      </c>
      <c r="M24" s="8">
        <f>SUMIFS(Catálogo!$J:$J,Catálogo!$A:$A,$A24)</f>
        <v/>
      </c>
      <c r="N24" s="8">
        <f>SUMIFS(Catálogo!$K:$K,Catálogo!$A:$A,$A24)</f>
        <v/>
      </c>
      <c r="O24" s="5">
        <f>MAX(FLOOR(SUMIFS(Catálogo!$V:V,Catálogo!$A:$A,$A24),1000),400000)</f>
        <v/>
      </c>
      <c r="P24" s="5">
        <f>MAX(CEILING(SUMIFS(Catálogo!$W:W,Catálogo!$A:$A,$A24),1000),400000)</f>
        <v/>
      </c>
      <c r="Q24" s="8">
        <f>SUMIFS(Catálogo!$L:$L,Catálogo!$A:$A,$A24)</f>
        <v/>
      </c>
      <c r="R24" s="8">
        <f>SUMIFS(Catálogo!$M:$M,Catálogo!$A:$A,$A24)</f>
        <v/>
      </c>
      <c r="S24" s="5">
        <f>MAX(FLOOR(SUMIFS(Catálogo!$X:X,Catálogo!$A:$A,$A24),1000),400000)</f>
        <v/>
      </c>
      <c r="T24" s="5">
        <f>MAX(CEILING(SUMIFS(Catálogo!$Y:Y,Catálogo!$A:$A,$A24),1000),400000)</f>
        <v/>
      </c>
      <c r="U24" s="8">
        <f>SUMIFS(Catálogo!$N:$N,Catálogo!$A:$A,$A24)</f>
        <v/>
      </c>
      <c r="V24" s="8">
        <f>SUMIFS(Catálogo!$O:$O,Catálogo!$A:$A,$A24)</f>
        <v/>
      </c>
      <c r="W24" s="5">
        <f>MAX(FLOOR(SUMIFS(Catálogo!$Z:Z,Catálogo!$A:$A,$A24),1000),400000)</f>
        <v/>
      </c>
      <c r="X24" s="5">
        <f>MAX(CEILING(SUMIFS(Catálogo!$AA:AA,Catálogo!$A:$A,$A24),1000),400000)</f>
        <v/>
      </c>
      <c r="Y24" s="5">
        <f>I24</f>
        <v/>
      </c>
    </row>
    <row r="25">
      <c r="A25" t="inlineStr">
        <is>
          <t>VFX-01</t>
        </is>
      </c>
      <c r="B25" t="inlineStr">
        <is>
          <t>Modelo 3D integrado en foto/video real</t>
        </is>
      </c>
      <c r="C25" t="inlineStr">
        <is>
          <t>vfx</t>
        </is>
      </c>
      <c r="D25" t="inlineStr">
        <is>
          <t>2-53</t>
        </is>
      </c>
      <c r="E25" s="8">
        <f>IF(SUMIFS(Catálogo!$F:$F,Catálogo!$A:$A,$A25)=0,SUMIFS(Catálogo!$H:$H,Catálogo!$A:$A,$A25),SUMIFS(Catálogo!$F:$F,Catálogo!$A:$A,$A25))</f>
        <v/>
      </c>
      <c r="F25" s="8">
        <f>IF(SUMIFS(Catálogo!$G:$G,Catálogo!$A:$A,$A25)=0,SUMIFS(Catálogo!$I:$I,Catálogo!$A:$A,$A25),SUMIFS(Catálogo!$G:$G,Catálogo!$A:$A,$A25))</f>
        <v/>
      </c>
      <c r="G25" s="5">
        <f>IF(SUMIFS(Catálogo!$F:$F,Catálogo!$A:$A,$A25)=0,MAX(FLOOR(SUMIFS(Catálogo!$T:$T,Catálogo!$A:$A,$A25),1000),400000),MAX(FLOOR(SUMIFS(Catálogo!$R:$R,Catálogo!$A:$A,$A25),1000),400000))</f>
        <v/>
      </c>
      <c r="H25" s="5">
        <f>IF(SUMIFS(Catálogo!$G:$G,Catálogo!$A:$A,$A25)=0,MAX(CEILING(SUMIFS(Catálogo!$U:$U,Catálogo!$A:$A,$A25),1000),400000),MAX(CEILING(SUMIFS(Catálogo!$S:$S,Catálogo!$A:$A,$A25),1000),400000))</f>
        <v/>
      </c>
      <c r="I25" s="8">
        <f>SUMIFS(Catálogo!$H:$H,Catálogo!$A:$A,$A25)</f>
        <v/>
      </c>
      <c r="J25" s="8">
        <f>SUMIFS(Catálogo!$I:$I,Catálogo!$A:$A,$A25)</f>
        <v/>
      </c>
      <c r="K25" s="5">
        <f>MAX(FLOOR(SUMIFS(Catálogo!$T:T,Catálogo!$A:$A,$A25),1000),400000)</f>
        <v/>
      </c>
      <c r="L25" s="5">
        <f>MAX(CEILING(SUMIFS(Catálogo!$U:U,Catálogo!$A:$A,$A25),1000),400000)</f>
        <v/>
      </c>
      <c r="M25" s="8">
        <f>SUMIFS(Catálogo!$J:$J,Catálogo!$A:$A,$A25)</f>
        <v/>
      </c>
      <c r="N25" s="8">
        <f>SUMIFS(Catálogo!$K:$K,Catálogo!$A:$A,$A25)</f>
        <v/>
      </c>
      <c r="O25" s="5">
        <f>MAX(FLOOR(SUMIFS(Catálogo!$V:V,Catálogo!$A:$A,$A25),1000),400000)</f>
        <v/>
      </c>
      <c r="P25" s="5">
        <f>MAX(CEILING(SUMIFS(Catálogo!$W:W,Catálogo!$A:$A,$A25),1000),400000)</f>
        <v/>
      </c>
      <c r="Q25" s="8">
        <f>SUMIFS(Catálogo!$L:$L,Catálogo!$A:$A,$A25)</f>
        <v/>
      </c>
      <c r="R25" s="8">
        <f>SUMIFS(Catálogo!$M:$M,Catálogo!$A:$A,$A25)</f>
        <v/>
      </c>
      <c r="S25" s="5">
        <f>MAX(FLOOR(SUMIFS(Catálogo!$X:X,Catálogo!$A:$A,$A25),1000),400000)</f>
        <v/>
      </c>
      <c r="T25" s="5">
        <f>MAX(CEILING(SUMIFS(Catálogo!$Y:Y,Catálogo!$A:$A,$A25),1000),400000)</f>
        <v/>
      </c>
      <c r="U25" s="8">
        <f>SUMIFS(Catálogo!$N:$N,Catálogo!$A:$A,$A25)</f>
        <v/>
      </c>
      <c r="V25" s="8">
        <f>SUMIFS(Catálogo!$O:$O,Catálogo!$A:$A,$A25)</f>
        <v/>
      </c>
      <c r="W25" s="5">
        <f>MAX(FLOOR(SUMIFS(Catálogo!$Z:Z,Catálogo!$A:$A,$A25),1000),400000)</f>
        <v/>
      </c>
      <c r="X25" s="5">
        <f>MAX(CEILING(SUMIFS(Catálogo!$AA:AA,Catálogo!$A:$A,$A25),1000),400000)</f>
        <v/>
      </c>
      <c r="Y25" s="5">
        <f>I25</f>
        <v/>
      </c>
    </row>
    <row r="26">
      <c r="A26" t="inlineStr">
        <is>
          <t>VFX-02</t>
        </is>
      </c>
      <c r="B26" t="inlineStr">
        <is>
          <t>FX puro (simulaciones video)</t>
        </is>
      </c>
      <c r="C26" t="inlineStr">
        <is>
          <t>vfx</t>
        </is>
      </c>
      <c r="D26" t="inlineStr">
        <is>
          <t>1-90</t>
        </is>
      </c>
      <c r="E26" s="8">
        <f>IF(SUMIFS(Catálogo!$F:$F,Catálogo!$A:$A,$A26)=0,SUMIFS(Catálogo!$H:$H,Catálogo!$A:$A,$A26),SUMIFS(Catálogo!$F:$F,Catálogo!$A:$A,$A26))</f>
        <v/>
      </c>
      <c r="F26" s="8">
        <f>IF(SUMIFS(Catálogo!$G:$G,Catálogo!$A:$A,$A26)=0,SUMIFS(Catálogo!$I:$I,Catálogo!$A:$A,$A26),SUMIFS(Catálogo!$G:$G,Catálogo!$A:$A,$A26))</f>
        <v/>
      </c>
      <c r="G26" s="5">
        <f>IF(SUMIFS(Catálogo!$F:$F,Catálogo!$A:$A,$A26)=0,MAX(FLOOR(SUMIFS(Catálogo!$T:$T,Catálogo!$A:$A,$A26),1000),400000),MAX(FLOOR(SUMIFS(Catálogo!$R:$R,Catálogo!$A:$A,$A26),1000),400000))</f>
        <v/>
      </c>
      <c r="H26" s="5">
        <f>IF(SUMIFS(Catálogo!$G:$G,Catálogo!$A:$A,$A26)=0,MAX(CEILING(SUMIFS(Catálogo!$U:$U,Catálogo!$A:$A,$A26),1000),400000),MAX(CEILING(SUMIFS(Catálogo!$S:$S,Catálogo!$A:$A,$A26),1000),400000))</f>
        <v/>
      </c>
      <c r="I26" s="8">
        <f>SUMIFS(Catálogo!$H:$H,Catálogo!$A:$A,$A26)</f>
        <v/>
      </c>
      <c r="J26" s="8">
        <f>SUMIFS(Catálogo!$I:$I,Catálogo!$A:$A,$A26)</f>
        <v/>
      </c>
      <c r="K26" s="5">
        <f>MAX(FLOOR(SUMIFS(Catálogo!$T:T,Catálogo!$A:$A,$A26),1000),400000)</f>
        <v/>
      </c>
      <c r="L26" s="5">
        <f>MAX(CEILING(SUMIFS(Catálogo!$U:U,Catálogo!$A:$A,$A26),1000),400000)</f>
        <v/>
      </c>
      <c r="M26" s="8">
        <f>SUMIFS(Catálogo!$J:$J,Catálogo!$A:$A,$A26)</f>
        <v/>
      </c>
      <c r="N26" s="8">
        <f>SUMIFS(Catálogo!$K:$K,Catálogo!$A:$A,$A26)</f>
        <v/>
      </c>
      <c r="O26" s="5">
        <f>MAX(FLOOR(SUMIFS(Catálogo!$V:V,Catálogo!$A:$A,$A26),1000),400000)</f>
        <v/>
      </c>
      <c r="P26" s="5">
        <f>MAX(CEILING(SUMIFS(Catálogo!$W:W,Catálogo!$A:$A,$A26),1000),400000)</f>
        <v/>
      </c>
      <c r="Q26" s="8">
        <f>SUMIFS(Catálogo!$L:$L,Catálogo!$A:$A,$A26)</f>
        <v/>
      </c>
      <c r="R26" s="8">
        <f>SUMIFS(Catálogo!$M:$M,Catálogo!$A:$A,$A26)</f>
        <v/>
      </c>
      <c r="S26" s="5">
        <f>MAX(FLOOR(SUMIFS(Catálogo!$X:X,Catálogo!$A:$A,$A26),1000),400000)</f>
        <v/>
      </c>
      <c r="T26" s="5">
        <f>MAX(CEILING(SUMIFS(Catálogo!$Y:Y,Catálogo!$A:$A,$A26),1000),400000)</f>
        <v/>
      </c>
      <c r="U26" s="8">
        <f>SUMIFS(Catálogo!$N:$N,Catálogo!$A:$A,$A26)</f>
        <v/>
      </c>
      <c r="V26" s="8">
        <f>SUMIFS(Catálogo!$O:$O,Catálogo!$A:$A,$A26)</f>
        <v/>
      </c>
      <c r="W26" s="5">
        <f>MAX(FLOOR(SUMIFS(Catálogo!$Z:Z,Catálogo!$A:$A,$A26),1000),400000)</f>
        <v/>
      </c>
      <c r="X26" s="5">
        <f>MAX(CEILING(SUMIFS(Catálogo!$AA:AA,Catálogo!$A:$A,$A26),1000),400000)</f>
        <v/>
      </c>
      <c r="Y26" s="5">
        <f>I26</f>
        <v/>
      </c>
    </row>
    <row r="27">
      <c r="A27" t="inlineStr">
        <is>
          <t>VFX-03</t>
        </is>
      </c>
      <c r="B27" t="inlineStr">
        <is>
          <t>Motion graphics 3D</t>
        </is>
      </c>
      <c r="C27" t="inlineStr">
        <is>
          <t>vfx</t>
        </is>
      </c>
      <c r="D27" t="inlineStr">
        <is>
          <t>2-40</t>
        </is>
      </c>
      <c r="E27" s="8">
        <f>IF(SUMIFS(Catálogo!$F:$F,Catálogo!$A:$A,$A27)=0,SUMIFS(Catálogo!$H:$H,Catálogo!$A:$A,$A27),SUMIFS(Catálogo!$F:$F,Catálogo!$A:$A,$A27))</f>
        <v/>
      </c>
      <c r="F27" s="8">
        <f>IF(SUMIFS(Catálogo!$G:$G,Catálogo!$A:$A,$A27)=0,SUMIFS(Catálogo!$I:$I,Catálogo!$A:$A,$A27),SUMIFS(Catálogo!$G:$G,Catálogo!$A:$A,$A27))</f>
        <v/>
      </c>
      <c r="G27" s="5">
        <f>IF(SUMIFS(Catálogo!$F:$F,Catálogo!$A:$A,$A27)=0,MAX(FLOOR(SUMIFS(Catálogo!$T:$T,Catálogo!$A:$A,$A27),1000),400000),MAX(FLOOR(SUMIFS(Catálogo!$R:$R,Catálogo!$A:$A,$A27),1000),400000))</f>
        <v/>
      </c>
      <c r="H27" s="5">
        <f>IF(SUMIFS(Catálogo!$G:$G,Catálogo!$A:$A,$A27)=0,MAX(CEILING(SUMIFS(Catálogo!$U:$U,Catálogo!$A:$A,$A27),1000),400000),MAX(CEILING(SUMIFS(Catálogo!$S:$S,Catálogo!$A:$A,$A27),1000),400000))</f>
        <v/>
      </c>
      <c r="I27" s="8">
        <f>SUMIFS(Catálogo!$H:$H,Catálogo!$A:$A,$A27)</f>
        <v/>
      </c>
      <c r="J27" s="8">
        <f>SUMIFS(Catálogo!$I:$I,Catálogo!$A:$A,$A27)</f>
        <v/>
      </c>
      <c r="K27" s="5">
        <f>MAX(FLOOR(SUMIFS(Catálogo!$T:T,Catálogo!$A:$A,$A27),1000),400000)</f>
        <v/>
      </c>
      <c r="L27" s="5">
        <f>MAX(CEILING(SUMIFS(Catálogo!$U:U,Catálogo!$A:$A,$A27),1000),400000)</f>
        <v/>
      </c>
      <c r="M27" s="8">
        <f>SUMIFS(Catálogo!$J:$J,Catálogo!$A:$A,$A27)</f>
        <v/>
      </c>
      <c r="N27" s="8">
        <f>SUMIFS(Catálogo!$K:$K,Catálogo!$A:$A,$A27)</f>
        <v/>
      </c>
      <c r="O27" s="5">
        <f>MAX(FLOOR(SUMIFS(Catálogo!$V:V,Catálogo!$A:$A,$A27),1000),400000)</f>
        <v/>
      </c>
      <c r="P27" s="5">
        <f>MAX(CEILING(SUMIFS(Catálogo!$W:W,Catálogo!$A:$A,$A27),1000),400000)</f>
        <v/>
      </c>
      <c r="Q27" s="8">
        <f>SUMIFS(Catálogo!$L:$L,Catálogo!$A:$A,$A27)</f>
        <v/>
      </c>
      <c r="R27" s="8">
        <f>SUMIFS(Catálogo!$M:$M,Catálogo!$A:$A,$A27)</f>
        <v/>
      </c>
      <c r="S27" s="5">
        <f>MAX(FLOOR(SUMIFS(Catálogo!$X:X,Catálogo!$A:$A,$A27),1000),400000)</f>
        <v/>
      </c>
      <c r="T27" s="5">
        <f>MAX(CEILING(SUMIFS(Catálogo!$Y:Y,Catálogo!$A:$A,$A27),1000),400000)</f>
        <v/>
      </c>
      <c r="U27" s="8">
        <f>SUMIFS(Catálogo!$N:$N,Catálogo!$A:$A,$A27)</f>
        <v/>
      </c>
      <c r="V27" s="8">
        <f>SUMIFS(Catálogo!$O:$O,Catálogo!$A:$A,$A27)</f>
        <v/>
      </c>
      <c r="W27" s="5">
        <f>MAX(FLOOR(SUMIFS(Catálogo!$Z:Z,Catálogo!$A:$A,$A27),1000),400000)</f>
        <v/>
      </c>
      <c r="X27" s="5">
        <f>MAX(CEILING(SUMIFS(Catálogo!$AA:AA,Catálogo!$A:$A,$A27),1000),400000)</f>
        <v/>
      </c>
      <c r="Y27" s="5">
        <f>I27</f>
        <v/>
      </c>
    </row>
    <row r="28">
      <c r="A28" t="inlineStr">
        <is>
          <t>TEX-01</t>
        </is>
      </c>
      <c r="B28" t="inlineStr">
        <is>
          <t>Generacion de texturas y mapas</t>
        </is>
      </c>
      <c r="C28" t="inlineStr">
        <is>
          <t>texturas</t>
        </is>
      </c>
      <c r="D28" t="inlineStr">
        <is>
          <t>1-45</t>
        </is>
      </c>
      <c r="E28" s="8">
        <f>IF(SUMIFS(Catálogo!$F:$F,Catálogo!$A:$A,$A28)=0,SUMIFS(Catálogo!$H:$H,Catálogo!$A:$A,$A28),SUMIFS(Catálogo!$F:$F,Catálogo!$A:$A,$A28))</f>
        <v/>
      </c>
      <c r="F28" s="8">
        <f>IF(SUMIFS(Catálogo!$G:$G,Catálogo!$A:$A,$A28)=0,SUMIFS(Catálogo!$I:$I,Catálogo!$A:$A,$A28),SUMIFS(Catálogo!$G:$G,Catálogo!$A:$A,$A28))</f>
        <v/>
      </c>
      <c r="G28" s="5">
        <f>IF(SUMIFS(Catálogo!$F:$F,Catálogo!$A:$A,$A28)=0,MAX(FLOOR(SUMIFS(Catálogo!$T:$T,Catálogo!$A:$A,$A28),1000),400000),MAX(FLOOR(SUMIFS(Catálogo!$R:$R,Catálogo!$A:$A,$A28),1000),400000))</f>
        <v/>
      </c>
      <c r="H28" s="5">
        <f>IF(SUMIFS(Catálogo!$G:$G,Catálogo!$A:$A,$A28)=0,MAX(CEILING(SUMIFS(Catálogo!$U:$U,Catálogo!$A:$A,$A28),1000),400000),MAX(CEILING(SUMIFS(Catálogo!$S:$S,Catálogo!$A:$A,$A28),1000),400000))</f>
        <v/>
      </c>
      <c r="I28" s="8">
        <f>SUMIFS(Catálogo!$H:$H,Catálogo!$A:$A,$A28)</f>
        <v/>
      </c>
      <c r="J28" s="8">
        <f>SUMIFS(Catálogo!$I:$I,Catálogo!$A:$A,$A28)</f>
        <v/>
      </c>
      <c r="K28" s="5">
        <f>MAX(FLOOR(SUMIFS(Catálogo!$T:T,Catálogo!$A:$A,$A28),1000),400000)</f>
        <v/>
      </c>
      <c r="L28" s="5">
        <f>MAX(CEILING(SUMIFS(Catálogo!$U:U,Catálogo!$A:$A,$A28),1000),400000)</f>
        <v/>
      </c>
      <c r="M28" s="8">
        <f>SUMIFS(Catálogo!$J:$J,Catálogo!$A:$A,$A28)</f>
        <v/>
      </c>
      <c r="N28" s="8">
        <f>SUMIFS(Catálogo!$K:$K,Catálogo!$A:$A,$A28)</f>
        <v/>
      </c>
      <c r="O28" s="5">
        <f>MAX(FLOOR(SUMIFS(Catálogo!$V:V,Catálogo!$A:$A,$A28),1000),400000)</f>
        <v/>
      </c>
      <c r="P28" s="5">
        <f>MAX(CEILING(SUMIFS(Catálogo!$W:W,Catálogo!$A:$A,$A28),1000),400000)</f>
        <v/>
      </c>
      <c r="Q28" s="8">
        <f>SUMIFS(Catálogo!$L:$L,Catálogo!$A:$A,$A28)</f>
        <v/>
      </c>
      <c r="R28" s="8">
        <f>SUMIFS(Catálogo!$M:$M,Catálogo!$A:$A,$A28)</f>
        <v/>
      </c>
      <c r="S28" s="5">
        <f>MAX(FLOOR(SUMIFS(Catálogo!$X:X,Catálogo!$A:$A,$A28),1000),400000)</f>
        <v/>
      </c>
      <c r="T28" s="5">
        <f>MAX(CEILING(SUMIFS(Catálogo!$Y:Y,Catálogo!$A:$A,$A28),1000),400000)</f>
        <v/>
      </c>
      <c r="U28" s="8">
        <f>SUMIFS(Catálogo!$N:$N,Catálogo!$A:$A,$A28)</f>
        <v/>
      </c>
      <c r="V28" s="8">
        <f>SUMIFS(Catálogo!$O:$O,Catálogo!$A:$A,$A28)</f>
        <v/>
      </c>
      <c r="W28" s="5">
        <f>MAX(FLOOR(SUMIFS(Catálogo!$Z:Z,Catálogo!$A:$A,$A28),1000),400000)</f>
        <v/>
      </c>
      <c r="X28" s="5">
        <f>MAX(CEILING(SUMIFS(Catálogo!$AA:AA,Catálogo!$A:$A,$A28),1000),400000)</f>
        <v/>
      </c>
      <c r="Y28" s="5">
        <f>I28</f>
        <v/>
      </c>
    </row>
    <row r="29">
      <c r="A29" t="inlineStr">
        <is>
          <t>PIPE-01</t>
        </is>
      </c>
      <c r="B29" t="inlineStr">
        <is>
          <t>Automatizacion de pipeline/scripts/tools</t>
        </is>
      </c>
      <c r="C29" t="inlineStr">
        <is>
          <t>pipeline</t>
        </is>
      </c>
      <c r="D29" t="inlineStr">
        <is>
          <t>1-80</t>
        </is>
      </c>
      <c r="E29" s="8">
        <f>IF(SUMIFS(Catálogo!$F:$F,Catálogo!$A:$A,$A29)=0,SUMIFS(Catálogo!$H:$H,Catálogo!$A:$A,$A29),SUMIFS(Catálogo!$F:$F,Catálogo!$A:$A,$A29))</f>
        <v/>
      </c>
      <c r="F29" s="8">
        <f>IF(SUMIFS(Catálogo!$G:$G,Catálogo!$A:$A,$A29)=0,SUMIFS(Catálogo!$I:$I,Catálogo!$A:$A,$A29),SUMIFS(Catálogo!$G:$G,Catálogo!$A:$A,$A29))</f>
        <v/>
      </c>
      <c r="G29" s="5">
        <f>IF(SUMIFS(Catálogo!$F:$F,Catálogo!$A:$A,$A29)=0,MAX(FLOOR(SUMIFS(Catálogo!$T:$T,Catálogo!$A:$A,$A29),1000),400000),MAX(FLOOR(SUMIFS(Catálogo!$R:$R,Catálogo!$A:$A,$A29),1000),400000))</f>
        <v/>
      </c>
      <c r="H29" s="5">
        <f>IF(SUMIFS(Catálogo!$G:$G,Catálogo!$A:$A,$A29)=0,MAX(CEILING(SUMIFS(Catálogo!$U:$U,Catálogo!$A:$A,$A29),1000),400000),MAX(CEILING(SUMIFS(Catálogo!$S:$S,Catálogo!$A:$A,$A29),1000),400000))</f>
        <v/>
      </c>
      <c r="I29" s="8">
        <f>SUMIFS(Catálogo!$H:$H,Catálogo!$A:$A,$A29)</f>
        <v/>
      </c>
      <c r="J29" s="8">
        <f>SUMIFS(Catálogo!$I:$I,Catálogo!$A:$A,$A29)</f>
        <v/>
      </c>
      <c r="K29" s="5">
        <f>MAX(FLOOR(SUMIFS(Catálogo!$T:T,Catálogo!$A:$A,$A29),1000),400000)</f>
        <v/>
      </c>
      <c r="L29" s="5">
        <f>MAX(CEILING(SUMIFS(Catálogo!$U:U,Catálogo!$A:$A,$A29),1000),400000)</f>
        <v/>
      </c>
      <c r="M29" s="8">
        <f>SUMIFS(Catálogo!$J:$J,Catálogo!$A:$A,$A29)</f>
        <v/>
      </c>
      <c r="N29" s="8">
        <f>SUMIFS(Catálogo!$K:$K,Catálogo!$A:$A,$A29)</f>
        <v/>
      </c>
      <c r="O29" s="5">
        <f>MAX(FLOOR(SUMIFS(Catálogo!$V:V,Catálogo!$A:$A,$A29),1000),400000)</f>
        <v/>
      </c>
      <c r="P29" s="5">
        <f>MAX(CEILING(SUMIFS(Catálogo!$W:W,Catálogo!$A:$A,$A29),1000),400000)</f>
        <v/>
      </c>
      <c r="Q29" s="8">
        <f>SUMIFS(Catálogo!$L:$L,Catálogo!$A:$A,$A29)</f>
        <v/>
      </c>
      <c r="R29" s="8">
        <f>SUMIFS(Catálogo!$M:$M,Catálogo!$A:$A,$A29)</f>
        <v/>
      </c>
      <c r="S29" s="5">
        <f>MAX(FLOOR(SUMIFS(Catálogo!$X:X,Catálogo!$A:$A,$A29),1000),400000)</f>
        <v/>
      </c>
      <c r="T29" s="5">
        <f>MAX(CEILING(SUMIFS(Catálogo!$Y:Y,Catálogo!$A:$A,$A29),1000),400000)</f>
        <v/>
      </c>
      <c r="U29" s="8">
        <f>SUMIFS(Catálogo!$N:$N,Catálogo!$A:$A,$A29)</f>
        <v/>
      </c>
      <c r="V29" s="8">
        <f>SUMIFS(Catálogo!$O:$O,Catálogo!$A:$A,$A29)</f>
        <v/>
      </c>
      <c r="W29" s="5">
        <f>MAX(FLOOR(SUMIFS(Catálogo!$Z:Z,Catálogo!$A:$A,$A29),1000),400000)</f>
        <v/>
      </c>
      <c r="X29" s="5">
        <f>MAX(CEILING(SUMIFS(Catálogo!$AA:AA,Catálogo!$A:$A,$A29),1000),400000)</f>
        <v/>
      </c>
      <c r="Y29" s="5">
        <f>I29</f>
        <v/>
      </c>
    </row>
  </sheetData>
  <autoFilter ref="A1:Y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30" customWidth="1" min="4" max="4"/>
    <col width="26" customWidth="1" min="5" max="5"/>
    <col width="26" customWidth="1" min="6" max="6"/>
    <col width="14" customWidth="1" min="7" max="7"/>
  </cols>
  <sheetData>
    <row r="1">
      <c r="A1" s="1" t="inlineStr">
        <is>
          <t>Cómo cada decisión del wizard se refleja en tiempos y precios</t>
        </is>
      </c>
    </row>
    <row r="3">
      <c r="A3" s="7" t="inlineStr">
        <is>
          <t>Regla general: el wizard mapea tus respuestas a VARIABLES de un servicio (serviceVariables.ts); esas variables eligen el NIVEL (tierMap) y el nivel define horas → precio (Resumen Servicios). Si el modelo no existe o es CAD, se SUMA un segundo servicio (RTA-01 creación / CAD-01 conversión).</t>
        </is>
      </c>
    </row>
    <row r="4"/>
    <row r="5"/>
    <row r="7">
      <c r="A7" s="1" t="inlineStr">
        <is>
          <t>A. Decisiones → efecto exacto</t>
        </is>
      </c>
    </row>
    <row r="8">
      <c r="A8" s="4" t="inlineStr">
        <is>
          <t>Rama</t>
        </is>
      </c>
      <c r="B8" s="4" t="inlineStr">
        <is>
          <t>Pregunta / decisión</t>
        </is>
      </c>
      <c r="C8" s="4" t="inlineStr">
        <is>
          <t>Si dices N…</t>
        </is>
      </c>
      <c r="D8" s="4" t="inlineStr">
        <is>
          <t>Se mapea a</t>
        </is>
      </c>
      <c r="E8" s="4" t="inlineStr">
        <is>
          <t>Efecto en precio</t>
        </is>
      </c>
    </row>
    <row r="9">
      <c r="A9" s="9" t="inlineStr">
        <is>
          <t>Todas web-3D</t>
        </is>
      </c>
      <c r="B9" s="9" t="inlineStr">
        <is>
          <t>¿Ya tienes el modelo 3D? → No</t>
        </is>
      </c>
      <c r="C9" s="9" t="inlineStr">
        <is>
          <t>—</t>
        </is>
      </c>
      <c r="D9" s="9" t="inlineStr">
        <is>
          <t>Se SUMA RTA-01 (creación desde cero) como servicio extra</t>
        </is>
      </c>
      <c r="E9" s="9" t="inlineStr">
        <is>
          <t>Suma el rango completo de RTA-01 al total</t>
        </is>
      </c>
    </row>
    <row r="10">
      <c r="A10" s="9" t="inlineStr">
        <is>
          <t>Todas web-3D</t>
        </is>
      </c>
      <c r="B10" s="9" t="inlineStr">
        <is>
          <t>¿Ya tienes el modelo? → Sí + formato STEP o CAD limpio</t>
        </is>
      </c>
      <c r="C10" s="9" t="inlineStr">
        <is>
          <t>—</t>
        </is>
      </c>
      <c r="D10" s="9" t="inlineStr">
        <is>
          <t>Se SUMA CAD-01 (conversión) como servicio extra</t>
        </is>
      </c>
      <c r="E10" s="9" t="inlineStr">
        <is>
          <t>Suma el rango completo de CAD-01</t>
        </is>
      </c>
    </row>
    <row r="11">
      <c r="A11" s="9" t="inlineStr">
        <is>
          <t>Todas web-3D</t>
        </is>
      </c>
      <c r="B11" s="9" t="inlineStr">
        <is>
          <t>Sí + escaneo o solo fotos</t>
        </is>
      </c>
      <c r="C11" s="9" t="inlineStr">
        <is>
          <t>—</t>
        </is>
      </c>
      <c r="D11" s="9" t="inlineStr">
        <is>
          <t>Se SUMA RTA-01 como "preparación del modelo"</t>
        </is>
      </c>
      <c r="E11" s="9" t="inlineStr">
        <is>
          <t>Suma RTA-01 (nivel según detalle elegido)</t>
        </is>
      </c>
    </row>
    <row r="12">
      <c r="A12" s="9" t="inlineStr">
        <is>
          <t>Todas web-3D</t>
        </is>
      </c>
      <c r="B12" s="9" t="inlineStr">
        <is>
          <t>Sí + glTF/GLB</t>
        </is>
      </c>
      <c r="C12" s="9" t="inlineStr">
        <is>
          <t>—</t>
        </is>
      </c>
      <c r="D12" s="9" t="inlineStr">
        <is>
          <t>Sin extra (web-ready)</t>
        </is>
      </c>
      <c r="E12" s="9" t="inlineStr">
        <is>
          <t>Solo el visor</t>
        </is>
      </c>
    </row>
    <row r="13">
      <c r="A13" s="9" t="inlineStr">
        <is>
          <t>ver-modelo / interactivo / scrollytelling / web-app</t>
        </is>
      </c>
      <c r="B13" s="9" t="inlineStr">
        <is>
          <t>Nivel de detalle = N (1–5 continuo)</t>
        </is>
      </c>
      <c r="C13" s="9" t="inlineStr">
        <is>
          <t>N → poligonos interpolados</t>
        </is>
      </c>
      <c r="D13" s="9" t="inlineStr">
        <is>
          <t>RTA-01.polyCount = interpolación [4k, 9k, 40k, 120k, 300k] redondeada a 500</t>
        </is>
      </c>
      <c r="E13" s="9" t="inlineStr">
        <is>
          <t>Cambia el tier de RTA-01 (≤10k S · ≤50k M · ≤150k L)</t>
        </is>
      </c>
    </row>
    <row r="14">
      <c r="A14" s="9" t="inlineStr">
        <is>
          <t>ver-modelo / interactivo / scrollytelling / web-app</t>
        </is>
      </c>
      <c r="B14" s="9" t="inlineStr">
        <is>
          <t>Superficie = N (1–5)</t>
        </is>
      </c>
      <c r="C14" s="9" t="inlineStr">
        <is>
          <t>N → tipoSuperficie</t>
        </is>
      </c>
      <c r="D14" s="9" t="inlineStr">
        <is>
          <t>RTA-01.tipoSuperficie</t>
        </is>
      </c>
      <c r="E14" s="9" t="inlineStr">
        <is>
          <t>≤2 S · 3 M · 4 L · 5 XL (+nota discovery)</t>
        </is>
      </c>
    </row>
    <row r="15">
      <c r="A15" s="9" t="inlineStr">
        <is>
          <t>ver-modelo / interactivo / scrollytelling / web-app</t>
        </is>
      </c>
      <c r="B15" s="9" t="inlineStr">
        <is>
          <t>Cantidad de piezas = N</t>
        </is>
      </c>
      <c r="C15" s="9" t="inlineStr">
        <is>
          <t>N → numPiezas</t>
        </is>
      </c>
      <c r="D15" s="9" t="inlineStr">
        <is>
          <t>RTA-01.numPiezas / CAD-01.numPiezas</t>
        </is>
      </c>
      <c r="E15" s="9" t="inlineStr">
        <is>
          <t>≤8 S · ≤30 M · ≤100 L (CAD: ≤15 S · ≤60 M · ≤300 L)</t>
        </is>
      </c>
    </row>
    <row r="16">
      <c r="A16" s="9" t="inlineStr">
        <is>
          <t>ver-modelo / interactivo / scrollytelling / web-app</t>
        </is>
      </c>
      <c r="B16" s="9" t="inlineStr">
        <is>
          <t>Acabados = simple / variado / detallado</t>
        </is>
      </c>
      <c r="C16" s="9" t="inlineStr">
        <is>
          <t>—</t>
        </is>
      </c>
      <c r="D16" s="9" t="inlineStr">
        <is>
          <t>RTA-01.numTexturas = 1 / 3 / 6</t>
        </is>
      </c>
      <c r="E16" s="9" t="inlineStr">
        <is>
          <t>Sube el tier si cruza umbrales de otras variables</t>
        </is>
      </c>
    </row>
    <row r="17">
      <c r="A17" s="9" t="inlineStr">
        <is>
          <t>ver-modelo</t>
        </is>
      </c>
      <c r="B17" s="9" t="inlineStr">
        <is>
          <t>Interfaz del visor = hotspots (avanzado)</t>
        </is>
      </c>
      <c r="C17" s="9" t="inlineStr">
        <is>
          <t>—</t>
        </is>
      </c>
      <c r="D17" s="9" t="inlineStr">
        <is>
          <t>WEB-01.numHotspots = 8</t>
        </is>
      </c>
      <c r="E17" s="9" t="inlineStr">
        <is>
          <t>≤5 S · ≤15 M · ≤30 L</t>
        </is>
      </c>
    </row>
    <row r="18">
      <c r="A18" s="9" t="inlineStr">
        <is>
          <t>ver-modelo</t>
        </is>
      </c>
      <c r="B18" s="9" t="inlineStr">
        <is>
          <t>Dónde se muestra = feria / móvil / landing</t>
        </is>
      </c>
      <c r="C18" s="9" t="inlineStr">
        <is>
          <t>—</t>
        </is>
      </c>
      <c r="D18" s="9" t="inlineStr">
        <is>
          <t>WEB-01.target = Desktop + móvil</t>
        </is>
      </c>
      <c r="E18" s="9" t="inlineStr">
        <is>
          <t>tier M (vs Desktop = S)</t>
        </is>
      </c>
    </row>
    <row r="19">
      <c r="A19" s="9" t="inlineStr">
        <is>
          <t>interactivo</t>
        </is>
      </c>
      <c r="B19" s="9" t="inlineStr">
        <is>
          <t>Tipo de interactividad = configurar  O  plataforma = app</t>
        </is>
      </c>
      <c r="C19" s="9" t="inlineStr">
        <is>
          <t>—</t>
        </is>
      </c>
      <c r="D19" s="9" t="inlineStr">
        <is>
          <t>Cambia el servicio a WEB-04 (Web App)</t>
        </is>
      </c>
      <c r="E19" s="9" t="inlineStr">
        <is>
          <t>WEB-04 es más costoso que WEB-01</t>
        </is>
      </c>
    </row>
    <row r="20">
      <c r="A20" s="9" t="inlineStr">
        <is>
          <t>interactivo</t>
        </is>
      </c>
      <c r="B20" s="9" t="inlineStr">
        <is>
          <t>Tipo de interactividad = hotspots</t>
        </is>
      </c>
      <c r="C20" s="9" t="inlineStr">
        <is>
          <t>—</t>
        </is>
      </c>
      <c r="D20" s="9" t="inlineStr">
        <is>
          <t>WEB-01.numHotspots = 8</t>
        </is>
      </c>
      <c r="E20" s="9" t="inlineStr">
        <is>
          <t>Tier M del visor</t>
        </is>
      </c>
    </row>
    <row r="21">
      <c r="A21" s="9" t="inlineStr">
        <is>
          <t>scrollytelling</t>
        </is>
      </c>
      <c r="B21" s="9" t="inlineStr">
        <is>
          <t>Escenas = N (1–15)</t>
        </is>
      </c>
      <c r="C21" s="9" t="inlineStr">
        <is>
          <t>N → numSecciones</t>
        </is>
      </c>
      <c r="D21" s="9" t="inlineStr">
        <is>
          <t>WEB-05.numSecciones</t>
        </is>
      </c>
      <c r="E21" s="9" t="inlineStr">
        <is>
          <t>≤4 S · ≤8 M · ≤15 L</t>
        </is>
      </c>
    </row>
    <row r="22">
      <c r="A22" s="9" t="inlineStr">
        <is>
          <t>web-app</t>
        </is>
      </c>
      <c r="B22" s="9" t="inlineStr">
        <is>
          <t>Tipo de app = configurador / catálogo / herramienta / juego</t>
        </is>
      </c>
      <c r="C22" s="9" t="inlineStr">
        <is>
          <t>—</t>
        </is>
      </c>
      <c r="D22" s="9" t="inlineStr">
        <is>
          <t>Enruta a WEB-04 / WEB-07 / WEB-04 / WEB-06</t>
        </is>
      </c>
      <c r="E22" s="9" t="inlineStr">
        <is>
          <t>Servicios con rangos muy distintos</t>
        </is>
      </c>
    </row>
    <row r="23">
      <c r="A23" s="9" t="inlineStr">
        <is>
          <t>web-app</t>
        </is>
      </c>
      <c r="B23" s="9" t="inlineStr">
        <is>
          <t>Variantes configurables = N</t>
        </is>
      </c>
      <c r="C23" s="9" t="inlineStr">
        <is>
          <t>N → numVariantes</t>
        </is>
      </c>
      <c r="D23" s="9" t="inlineStr">
        <is>
          <t>WEB-04.numVariantes</t>
        </is>
      </c>
      <c r="E23" s="9" t="inlineStr">
        <is>
          <t>≤10 S · ≤25 M · ≤50 L</t>
        </is>
      </c>
    </row>
    <row r="24">
      <c r="A24" s="9" t="inlineStr">
        <is>
          <t>web-app</t>
        </is>
      </c>
      <c r="B24" s="9" t="inlineStr">
        <is>
          <t>Usuarios = equipo interno (avanzado)</t>
        </is>
      </c>
      <c r="C24" s="9" t="inlineStr">
        <is>
          <t>—</t>
        </is>
      </c>
      <c r="D24" s="9" t="inlineStr">
        <is>
          <t>WEB-04.auth = true</t>
        </is>
      </c>
      <c r="E24" s="9" t="inlineStr">
        <is>
          <t>Sube a tier L</t>
        </is>
      </c>
    </row>
    <row r="25">
      <c r="A25" s="9" t="inlineStr">
        <is>
          <t>web-app</t>
        </is>
      </c>
      <c r="B25" s="9" t="inlineStr">
        <is>
          <t>Origen de datos = CMS / API (avanzado)</t>
        </is>
      </c>
      <c r="C25" s="9" t="inlineStr">
        <is>
          <t>—</t>
        </is>
      </c>
      <c r="D25" s="9" t="inlineStr">
        <is>
          <t>WEB-04.fuenteDatos</t>
        </is>
      </c>
      <c r="E25" s="9" t="inlineStr">
        <is>
          <t>CMS tier M · API tier L</t>
        </is>
      </c>
    </row>
    <row r="27">
      <c r="A27" s="1" t="inlineStr">
        <is>
          <t>B. Umbrales EXACTOS (tierMaps) que usa derivarTier</t>
        </is>
      </c>
    </row>
    <row r="28">
      <c r="A28" s="4" t="inlineStr">
        <is>
          <t>Servicio</t>
        </is>
      </c>
      <c r="B28" s="4" t="inlineStr">
        <is>
          <t>Variable</t>
        </is>
      </c>
      <c r="C28" s="4" t="inlineStr">
        <is>
          <t>Umbral → nivel</t>
        </is>
      </c>
    </row>
    <row r="29">
      <c r="A29" t="inlineStr">
        <is>
          <t>RND-01</t>
        </is>
      </c>
      <c r="B29" t="inlineStr">
        <is>
          <t>numImagenes</t>
        </is>
      </c>
      <c r="C29" t="inlineStr">
        <is>
          <t>≤2 → S · ≤5 → M · ≤12 → L</t>
        </is>
      </c>
    </row>
    <row r="30">
      <c r="A30" t="inlineStr">
        <is>
          <t>RND-01</t>
        </is>
      </c>
      <c r="B30" t="inlineStr">
        <is>
          <t>numMateriales</t>
        </is>
      </c>
      <c r="C30" t="inlineStr">
        <is>
          <t>≤3 → S · ≤6 → M · ≤99 → L</t>
        </is>
      </c>
    </row>
    <row r="31">
      <c r="A31" t="inlineStr">
        <is>
          <t>RND-01</t>
        </is>
      </c>
      <c r="B31" t="inlineStr">
        <is>
          <t>resolucion</t>
        </is>
      </c>
      <c r="C31" t="inlineStr">
        <is>
          <t>Web (≤2K) → S · Print (4K+) → M</t>
        </is>
      </c>
    </row>
    <row r="32">
      <c r="A32" t="inlineStr">
        <is>
          <t>RND-02</t>
        </is>
      </c>
      <c r="B32" t="inlineStr">
        <is>
          <t>duracion</t>
        </is>
      </c>
      <c r="C32" t="inlineStr">
        <is>
          <t>≤10 → S · ≤30 → M · ≤90 → L</t>
        </is>
      </c>
    </row>
    <row r="33">
      <c r="A33" t="inlineStr">
        <is>
          <t>RND-02</t>
        </is>
      </c>
      <c r="B33" t="inlineStr">
        <is>
          <t>numShots</t>
        </is>
      </c>
      <c r="C33" t="inlineStr">
        <is>
          <t>≤2 → S · ≤4 → M · ≤12 → L</t>
        </is>
      </c>
    </row>
    <row r="34">
      <c r="A34" t="inlineStr">
        <is>
          <t>RTA-01</t>
        </is>
      </c>
      <c r="B34" t="inlineStr">
        <is>
          <t>polyCount</t>
        </is>
      </c>
      <c r="C34" t="inlineStr">
        <is>
          <t>≤10000 → S · ≤50000 → M · ≤150000 → L</t>
        </is>
      </c>
    </row>
    <row r="35">
      <c r="A35" t="inlineStr">
        <is>
          <t>RTA-01</t>
        </is>
      </c>
      <c r="B35" t="inlineStr">
        <is>
          <t>numPiezas</t>
        </is>
      </c>
      <c r="C35" t="inlineStr">
        <is>
          <t>≤8 → S · ≤30 → M · ≤100 → L</t>
        </is>
      </c>
    </row>
    <row r="36">
      <c r="A36" t="inlineStr">
        <is>
          <t>RTA-01</t>
        </is>
      </c>
      <c r="B36" t="inlineStr">
        <is>
          <t>tipoSuperficie</t>
        </is>
      </c>
      <c r="C36" t="inlineStr">
        <is>
          <t>≤2 → S · ≤3 → M · ≤4 → L · ≤5 → XL</t>
        </is>
      </c>
    </row>
    <row r="37">
      <c r="A37" t="inlineStr">
        <is>
          <t>RTA-01</t>
        </is>
      </c>
      <c r="B37" t="inlineStr">
        <is>
          <t>fuente</t>
        </is>
      </c>
      <c r="C37" t="inlineStr">
        <is>
          <t>Ya tengo el modelo 3D → S · Desde CAD (requiere conversión) → M · Desde fotos (requiere modelado) → L</t>
        </is>
      </c>
    </row>
    <row r="38">
      <c r="A38" t="inlineStr">
        <is>
          <t>RTA-01</t>
        </is>
      </c>
      <c r="B38" t="inlineStr">
        <is>
          <t>numTexturas</t>
        </is>
      </c>
      <c r="C38" t="inlineStr">
        <is>
          <t>≤2 → S · ≤4 → M · ≤10 → L</t>
        </is>
      </c>
    </row>
    <row r="39">
      <c r="A39" t="inlineStr">
        <is>
          <t>RTA-02</t>
        </is>
      </c>
      <c r="B39" t="inlineStr">
        <is>
          <t>polyCount</t>
        </is>
      </c>
      <c r="C39" t="inlineStr">
        <is>
          <t>≤10000 → S · ≤50000 → M · ≤150000 → L</t>
        </is>
      </c>
    </row>
    <row r="40">
      <c r="A40" t="inlineStr">
        <is>
          <t>RTA-02</t>
        </is>
      </c>
      <c r="B40" t="inlineStr">
        <is>
          <t>numHotspots</t>
        </is>
      </c>
      <c r="C40" t="inlineStr">
        <is>
          <t>≤5 → S · ≤15 → M · ≤30 → L</t>
        </is>
      </c>
    </row>
    <row r="41">
      <c r="A41" t="inlineStr">
        <is>
          <t>RTA-03</t>
        </is>
      </c>
      <c r="B41" t="inlineStr">
        <is>
          <t>polyCount</t>
        </is>
      </c>
      <c r="C41" t="inlineStr">
        <is>
          <t>≤10000 → S · ≤50000 → M · ≤150000 → L</t>
        </is>
      </c>
    </row>
    <row r="42">
      <c r="A42" t="inlineStr">
        <is>
          <t>RTA-03</t>
        </is>
      </c>
      <c r="B42" t="inlineStr">
        <is>
          <t>numLoops</t>
        </is>
      </c>
      <c r="C42" t="inlineStr">
        <is>
          <t>≤2 → S · ≤5 → M · ≤10 → L</t>
        </is>
      </c>
    </row>
    <row r="43">
      <c r="A43" t="inlineStr">
        <is>
          <t>RTA-04</t>
        </is>
      </c>
      <c r="B43" t="inlineStr">
        <is>
          <t>polyCount</t>
        </is>
      </c>
      <c r="C43" t="inlineStr">
        <is>
          <t>≤10000 → S · ≤50000 → M · ≤150000 → L</t>
        </is>
      </c>
    </row>
    <row r="44">
      <c r="A44" t="inlineStr">
        <is>
          <t>RTA-04</t>
        </is>
      </c>
      <c r="B44" t="inlineStr">
        <is>
          <t>numEstados</t>
        </is>
      </c>
      <c r="C44" t="inlineStr">
        <is>
          <t>≤5 → S · ≤12 → M · ≤20 → L</t>
        </is>
      </c>
    </row>
    <row r="45">
      <c r="A45" t="inlineStr">
        <is>
          <t>RTA-05</t>
        </is>
      </c>
      <c r="B45" t="inlineStr">
        <is>
          <t>numShaders</t>
        </is>
      </c>
      <c r="C45" t="inlineStr">
        <is>
          <t>≤3 → S · ≤8 → M · ≤15 → L</t>
        </is>
      </c>
    </row>
    <row r="46">
      <c r="A46" t="inlineStr">
        <is>
          <t>RTA-05</t>
        </is>
      </c>
      <c r="B46" t="inlineStr">
        <is>
          <t>target</t>
        </is>
      </c>
      <c r="C46" t="inlineStr">
        <is>
          <t>Desktop → S · Desktop + móvil → M</t>
        </is>
      </c>
    </row>
    <row r="47">
      <c r="A47" t="inlineStr">
        <is>
          <t>RTA-06</t>
        </is>
      </c>
      <c r="B47" t="inlineStr">
        <is>
          <t>numPartes</t>
        </is>
      </c>
      <c r="C47" t="inlineStr">
        <is>
          <t>≤10 → S · ≤40 → M · ≤100 → L</t>
        </is>
      </c>
    </row>
    <row r="48">
      <c r="A48" t="inlineStr">
        <is>
          <t>RTA-06</t>
        </is>
      </c>
      <c r="B48" t="inlineStr">
        <is>
          <t>profundidad</t>
        </is>
      </c>
      <c r="C48" t="inlineStr">
        <is>
          <t>Explosión simple (una etapa) → S · Múltiples etapas con etiquetas → M · Completo con cotas y medición → L</t>
        </is>
      </c>
    </row>
    <row r="49">
      <c r="A49" t="inlineStr">
        <is>
          <t>WEB-01</t>
        </is>
      </c>
      <c r="B49" t="inlineStr">
        <is>
          <t>numHotspots</t>
        </is>
      </c>
      <c r="C49" t="inlineStr">
        <is>
          <t>≤5 → S · ≤15 → M · ≤30 → L</t>
        </is>
      </c>
    </row>
    <row r="50">
      <c r="A50" t="inlineStr">
        <is>
          <t>WEB-01</t>
        </is>
      </c>
      <c r="B50" t="inlineStr">
        <is>
          <t>datos</t>
        </is>
      </c>
      <c r="C50" t="inlineStr">
        <is>
          <t>Fijos (hardcode) → S · Dinámicos (CMS/API) → M</t>
        </is>
      </c>
    </row>
    <row r="51">
      <c r="A51" t="inlineStr">
        <is>
          <t>WEB-01</t>
        </is>
      </c>
      <c r="B51" t="inlineStr">
        <is>
          <t>target</t>
        </is>
      </c>
      <c r="C51" t="inlineStr">
        <is>
          <t>Desktop → S · Desktop + móvil → M</t>
        </is>
      </c>
    </row>
    <row r="52">
      <c r="A52" t="inlineStr">
        <is>
          <t>WEB-02</t>
        </is>
      </c>
      <c r="B52" t="inlineStr">
        <is>
          <t>numEscenas</t>
        </is>
      </c>
      <c r="C52" t="inlineStr">
        <is>
          <t>≤2 → S · ≤5 → M · ≤10 → L</t>
        </is>
      </c>
    </row>
    <row r="53">
      <c r="A53" t="inlineStr">
        <is>
          <t>WEB-03</t>
        </is>
      </c>
      <c r="B53" t="inlineStr">
        <is>
          <t>tamanoProyecto</t>
        </is>
      </c>
      <c r="C53" t="inlineStr">
        <is>
          <t>Pequeño (demo/prototype) → S · Medio (producto funcional) → M · Grande (app completa) → L</t>
        </is>
      </c>
    </row>
    <row r="54">
      <c r="A54" t="inlineStr">
        <is>
          <t>WEB-04</t>
        </is>
      </c>
      <c r="B54" t="inlineStr">
        <is>
          <t>numVariantes</t>
        </is>
      </c>
      <c r="C54" t="inlineStr">
        <is>
          <t>≤10 → S · ≤25 → M · ≤50 → L</t>
        </is>
      </c>
    </row>
    <row r="55">
      <c r="A55" t="inlineStr">
        <is>
          <t>WEB-04</t>
        </is>
      </c>
      <c r="B55" t="inlineStr">
        <is>
          <t>numSKUs</t>
        </is>
      </c>
      <c r="C55" t="inlineStr">
        <is>
          <t>≤5 → S · ≤20 → M · ≤100 → L</t>
        </is>
      </c>
    </row>
    <row r="56">
      <c r="A56" t="inlineStr">
        <is>
          <t>WEB-04</t>
        </is>
      </c>
      <c r="B56" t="inlineStr">
        <is>
          <t>fuenteDatos</t>
        </is>
      </c>
      <c r="C56" t="inlineStr">
        <is>
          <t>Estáticos (JSON local) → S · CMS → M · API externa → L</t>
        </is>
      </c>
    </row>
    <row r="57">
      <c r="A57" t="inlineStr">
        <is>
          <t>WEB-05</t>
        </is>
      </c>
      <c r="B57" t="inlineStr">
        <is>
          <t>numSecciones</t>
        </is>
      </c>
      <c r="C57" t="inlineStr">
        <is>
          <t>≤4 → S · ≤8 → M · ≤15 → L</t>
        </is>
      </c>
    </row>
    <row r="58">
      <c r="A58" t="inlineStr">
        <is>
          <t>WEB-06</t>
        </is>
      </c>
      <c r="B58" t="inlineStr">
        <is>
          <t>mecanica</t>
        </is>
      </c>
      <c r="C58" t="inlineStr">
        <is>
          <t>Simple (quiz, memory, puzzle) → S · Media (runner, plataforma) → M · Compleja (multiplayer, física) → L</t>
        </is>
      </c>
    </row>
    <row r="59">
      <c r="A59" t="inlineStr">
        <is>
          <t>WEB-07</t>
        </is>
      </c>
      <c r="B59" t="inlineStr">
        <is>
          <t>numProductos</t>
        </is>
      </c>
      <c r="C59" t="inlineStr">
        <is>
          <t>≤5 → S · ≤20 → M · ≤100 → L</t>
        </is>
      </c>
    </row>
    <row r="60">
      <c r="A60" t="inlineStr">
        <is>
          <t>WEB-08</t>
        </is>
      </c>
      <c r="B60" t="inlineStr">
        <is>
          <t>numSlides</t>
        </is>
      </c>
      <c r="C60" t="inlineStr">
        <is>
          <t>≤8 → S · ≤15 → M · ≤30 → L</t>
        </is>
      </c>
    </row>
    <row r="61">
      <c r="A61" t="inlineStr">
        <is>
          <t>AI-01</t>
        </is>
      </c>
      <c r="B61" t="inlineStr">
        <is>
          <t>fuentes</t>
        </is>
      </c>
      <c r="C61" t="inlineStr">
        <is>
          <t>≤5 → S · ≤15 → M · ≤50 → L</t>
        </is>
      </c>
    </row>
    <row r="62">
      <c r="A62" t="inlineStr">
        <is>
          <t>AI-01</t>
        </is>
      </c>
      <c r="B62" t="inlineStr">
        <is>
          <t>idiomas</t>
        </is>
      </c>
      <c r="C62" t="inlineStr">
        <is>
          <t>≤1 → S · ≤2 → M · ≤5 → L</t>
        </is>
      </c>
    </row>
    <row r="63">
      <c r="A63" t="inlineStr">
        <is>
          <t>AI-02</t>
        </is>
      </c>
      <c r="B63" t="inlineStr">
        <is>
          <t>numFlujos</t>
        </is>
      </c>
      <c r="C63" t="inlineStr">
        <is>
          <t>≤3 → S · ≤8 → M · ≤15 → L</t>
        </is>
      </c>
    </row>
    <row r="64">
      <c r="A64" t="inlineStr">
        <is>
          <t>AI-03</t>
        </is>
      </c>
      <c r="B64" t="inlineStr">
        <is>
          <t>numProcesos</t>
        </is>
      </c>
      <c r="C64" t="inlineStr">
        <is>
          <t>≤3 → S · ≤8 → M · ≤20 → L</t>
        </is>
      </c>
    </row>
    <row r="65">
      <c r="A65" t="inlineStr">
        <is>
          <t>AI-03</t>
        </is>
      </c>
      <c r="B65" t="inlineStr">
        <is>
          <t>madurez</t>
        </is>
      </c>
      <c r="C65" t="inlineStr">
        <is>
          <t>Muy digitalizado (herramientas cloud) → S · Parcialmente digital → M · Poco digitalizado (papel/excel) → L</t>
        </is>
      </c>
    </row>
    <row r="66">
      <c r="A66" t="inlineStr">
        <is>
          <t>AI-04</t>
        </is>
      </c>
      <c r="B66" t="inlineStr">
        <is>
          <t>tamanoOrg</t>
        </is>
      </c>
      <c r="C66" t="inlineStr">
        <is>
          <t>Pequeña (&lt;20 personas) → S · Mediana (20–100) → M · Grande (&gt;100) → L</t>
        </is>
      </c>
    </row>
    <row r="67">
      <c r="A67" t="inlineStr">
        <is>
          <t>VFX-01</t>
        </is>
      </c>
      <c r="B67" t="inlineStr">
        <is>
          <t>complejidadFondo</t>
        </is>
      </c>
      <c r="C67" t="inlineStr">
        <is>
          <t>Plano/simple → S · Con profundidad → M · Muy complejo (muchos elementos) → L</t>
        </is>
      </c>
    </row>
    <row r="68">
      <c r="A68" t="inlineStr">
        <is>
          <t>VFX-02</t>
        </is>
      </c>
      <c r="B68" t="inlineStr">
        <is>
          <t>movimientoCamara</t>
        </is>
      </c>
      <c r="C68" t="inlineStr">
        <is>
          <t>Estática → S · Handheld → M · Dolly/grúa compleja → L</t>
        </is>
      </c>
    </row>
    <row r="69">
      <c r="A69" t="inlineStr">
        <is>
          <t>VFX-02</t>
        </is>
      </c>
      <c r="B69" t="inlineStr">
        <is>
          <t>numElementosCG</t>
        </is>
      </c>
      <c r="C69" t="inlineStr">
        <is>
          <t>≤2 → S · ≤5 → M · ≤10 → L</t>
        </is>
      </c>
    </row>
    <row r="70">
      <c r="A70" t="inlineStr">
        <is>
          <t>VFX-03</t>
        </is>
      </c>
      <c r="B70" t="inlineStr">
        <is>
          <t>tipoSim</t>
        </is>
      </c>
      <c r="C70" t="inlineStr">
        <is>
          <t>Partículas simples → S · Volumétricos (humo/niebla) → M · Fluidos/destrucción RBD → L</t>
        </is>
      </c>
    </row>
    <row r="71">
      <c r="A71" t="inlineStr">
        <is>
          <t>TEX-01</t>
        </is>
      </c>
      <c r="B71" t="inlineStr">
        <is>
          <t>numSets</t>
        </is>
      </c>
      <c r="C71" t="inlineStr">
        <is>
          <t>≤3 → S · ≤10 → M · ≤30 → L</t>
        </is>
      </c>
    </row>
    <row r="72">
      <c r="A72" t="inlineStr">
        <is>
          <t>PIPE-01</t>
        </is>
      </c>
      <c r="B72" t="inlineStr">
        <is>
          <t>numScripts</t>
        </is>
      </c>
      <c r="C72" t="inlineStr">
        <is>
          <t>≤3 → S · ≤8 → M · ≤20 → L</t>
        </is>
      </c>
    </row>
    <row r="73">
      <c r="A73" t="inlineStr">
        <is>
          <t>CON-01</t>
        </is>
      </c>
      <c r="B73" t="inlineStr">
        <is>
          <t>numSesiones</t>
        </is>
      </c>
      <c r="C73" t="inlineStr">
        <is>
          <t>≤3 → S · ≤8 → M · ≤20 → L</t>
        </is>
      </c>
    </row>
    <row r="74">
      <c r="A74" t="inlineStr">
        <is>
          <t>RET-01</t>
        </is>
      </c>
      <c r="B74" t="inlineStr">
        <is>
          <t>plan</t>
        </is>
      </c>
      <c r="C74" t="inlineStr">
        <is>
          <t>Lite (4 h/mes) → S · Standard (8 h/mes) → S · Pro (16 h/mes) → M · Business (40 h/mes) → L · Enterprise (80 h/mes) → XL</t>
        </is>
      </c>
    </row>
    <row r="75">
      <c r="A75" t="inlineStr">
        <is>
          <t>CAD-01</t>
        </is>
      </c>
      <c r="B75" t="inlineStr">
        <is>
          <t>numPiezas</t>
        </is>
      </c>
      <c r="C75" t="inlineStr">
        <is>
          <t>≤15 → S · ≤60 → M · ≤150 → M · ≤300 → L</t>
        </is>
      </c>
    </row>
    <row r="76">
      <c r="A76" t="inlineStr">
        <is>
          <t>CAD-01</t>
        </is>
      </c>
      <c r="B76" t="inlineStr">
        <is>
          <t>complejidad</t>
        </is>
      </c>
      <c r="C76" t="inlineStr">
        <is>
          <t>Prismática (cajas, placas, tubo recto) → S · Freeform moderada (carenas, fillets) → M · Compleja (roscas, cables, orgánico) → L</t>
        </is>
      </c>
    </row>
    <row r="77">
      <c r="A77" t="inlineStr">
        <is>
          <t>CAD-01</t>
        </is>
      </c>
      <c r="B77" t="inlineStr">
        <is>
          <t>calidadCAD</t>
        </is>
      </c>
      <c r="C77" t="inlineStr">
        <is>
          <t>Limpio (export correcto, unidades ok) → S · Con problemas (tolerancias, geometría sucia) → M</t>
        </is>
      </c>
    </row>
    <row r="78">
      <c r="A78" t="inlineStr">
        <is>
          <t>CAD-01</t>
        </is>
      </c>
      <c r="B78" t="inlineStr">
        <is>
          <t>target</t>
        </is>
      </c>
      <c r="C78" t="inlineStr">
        <is>
          <t>Desktop web → S · Móvil exigente → M</t>
        </is>
      </c>
    </row>
    <row r="80">
      <c r="A80" s="1" t="inlineStr">
        <is>
          <t>C. Ejemplo resuelto con FÓRMULAS VIVAS (ver-modelo, "No tengo modelo", nivel 3, 12 piezas, detallado, superficie 3)</t>
        </is>
      </c>
    </row>
    <row r="81">
      <c r="A81" s="10" t="inlineStr">
        <is>
          <t>Paso</t>
        </is>
      </c>
      <c r="B81" s="10" t="inlineStr">
        <is>
          <t>Cálculo</t>
        </is>
      </c>
      <c r="C81" s="10" t="inlineStr">
        <is>
          <t>Resultado (celda viva)</t>
        </is>
      </c>
    </row>
    <row r="82">
      <c r="A82" t="inlineStr">
        <is>
          <t>1. RTA-01.polyCount</t>
        </is>
      </c>
      <c r="B82" t="inlineStr">
        <is>
          <t>nivel 3 → interpolación [4k, 9k, 40k, 120k, 300k] = 40.000</t>
        </is>
      </c>
      <c r="C82" t="inlineStr">
        <is>
          <t>polyCount = 40.000</t>
        </is>
      </c>
    </row>
    <row r="83">
      <c r="A83" t="inlineStr">
        <is>
          <t>2. RTA-01.numPiezas</t>
        </is>
      </c>
      <c r="B83" t="inlineStr">
        <is>
          <t>slider piezas = 12</t>
        </is>
      </c>
      <c r="C83" s="5">
        <f>'Resumen Servicios'!I7</f>
        <v/>
      </c>
    </row>
    <row r="84">
      <c r="A84" t="inlineStr">
        <is>
          <t>3. RTA-01.numTexturas</t>
        </is>
      </c>
      <c r="B84" t="inlineStr">
        <is>
          <t>acabado detallado → 6 sets</t>
        </is>
      </c>
      <c r="C84" s="5">
        <f>'Resumen Servicios'!O4</f>
        <v/>
      </c>
    </row>
    <row r="85">
      <c r="A85" t="inlineStr">
        <is>
          <t>4. RTA-01.tipoSuperficie</t>
        </is>
      </c>
      <c r="B85" t="inlineStr">
        <is>
          <t>superficie 3</t>
        </is>
      </c>
      <c r="C85" s="5">
        <f>'Resumen Servicios'!K7</f>
        <v/>
      </c>
    </row>
    <row r="86">
      <c r="A86" t="inlineStr">
        <is>
          <t>5. Tier RTA-01</t>
        </is>
      </c>
      <c r="B86" t="inlineStr">
        <is>
          <t>máximo de los umbrales (piezas ≤30 → M)</t>
        </is>
      </c>
      <c r="C86" s="5">
        <f>'Resumen Servicios'!P4</f>
        <v/>
      </c>
    </row>
    <row r="87">
      <c r="A87" t="inlineStr">
        <is>
          <t>6. WEB-01</t>
        </is>
      </c>
      <c r="B87" t="inlineStr">
        <is>
          <t>sin hotspots, sin CMS → Desktop, 0 hotspots</t>
        </is>
      </c>
      <c r="C87" s="5">
        <f>MAX(FLOOR(('Resumen Servicios'!K7+'Resumen Servicios'!O4)*0.95,1000),400000)</f>
        <v/>
      </c>
    </row>
    <row r="88">
      <c r="A88" t="inlineStr">
        <is>
          <t>7. WEB-01 S → ver Resumen fila WEB-01</t>
        </is>
      </c>
      <c r="B88" t="inlineStr">
        <is>
          <t>motor computeQuote</t>
        </is>
      </c>
      <c r="C88" s="5">
        <f>CEILING(('Resumen Servicios'!L7+'Resumen Servicios'!P4)*0.95,1000)</f>
        <v/>
      </c>
    </row>
    <row r="89">
      <c r="A89" t="inlineStr">
        <is>
          <t>8. RTA-01 M → ver Resumen fila RTA-01</t>
        </is>
      </c>
      <c r="B89" t="inlineStr">
        <is>
          <t>motor computeQuote</t>
        </is>
      </c>
    </row>
    <row r="90">
      <c r="A90" t="inlineStr">
        <is>
          <t>9. Total con bundle −5% (2 servicios)</t>
        </is>
      </c>
      <c r="B90" t="inlineStr">
        <is>
          <t>(WEB-01 + RTA-01) × 0,95</t>
        </is>
      </c>
    </row>
    <row r="92">
      <c r="A92" s="11" t="inlineStr">
        <is>
          <t>Estas celdas son fórmulas: si editas horas en Catálogo o tarifas en Tarifas, este ejemplo se actualiza solo — igual que la web.</t>
        </is>
      </c>
    </row>
    <row r="93">
      <c r="A93" s="11" t="inlineStr">
        <is>
          <t>Nota bundle: la web aplica −5% automáticamente cuando el presupuesto agrupa 2 servicios (−10% con 3+). No acumula con urgencia.</t>
        </is>
      </c>
    </row>
  </sheetData>
  <mergeCells count="1">
    <mergeCell ref="A3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60" customWidth="1" min="4" max="4"/>
  </cols>
  <sheetData>
    <row r="1">
      <c r="A1" s="1" t="inlineStr">
        <is>
          <t>Precios por hora — Colombia vs Internacional (2025-2026)</t>
        </is>
      </c>
    </row>
    <row r="3">
      <c r="A3" s="4" t="inlineStr">
        <is>
          <t>Perfil</t>
        </is>
      </c>
      <c r="B3" s="4" t="inlineStr">
        <is>
          <t>Colombia COP/h</t>
        </is>
      </c>
      <c r="C3" s="4" t="inlineStr">
        <is>
          <t>Internacional USD/h</t>
        </is>
      </c>
      <c r="D3" s="4" t="inlineStr">
        <is>
          <t>Nota</t>
        </is>
      </c>
    </row>
    <row r="4">
      <c r="A4" t="inlineStr">
        <is>
          <t>Dev web general junior (CO)</t>
        </is>
      </c>
      <c r="B4" t="inlineStr">
        <is>
          <t>60.000–100.000</t>
        </is>
      </c>
      <c r="C4" t="inlineStr">
        <is>
          <t>$15–25</t>
        </is>
      </c>
      <c r="D4" t="inlineStr">
        <is>
          <t>omarhernandezrey.com/blog</t>
        </is>
      </c>
    </row>
    <row r="5">
      <c r="A5" t="inlineStr">
        <is>
          <t>Dev web general mid (CO)</t>
        </is>
      </c>
      <c r="B5" t="inlineStr">
        <is>
          <t>100.000–160.000</t>
        </is>
      </c>
      <c r="C5" t="inlineStr">
        <is>
          <t>$25–40</t>
        </is>
      </c>
      <c r="D5" t="inlineStr">
        <is>
          <t>omarhernandezrey.com/blog</t>
        </is>
      </c>
    </row>
    <row r="6">
      <c r="A6" t="inlineStr">
        <is>
          <t>Dev web senior / clientes intl. (CO)</t>
        </is>
      </c>
      <c r="B6" t="inlineStr">
        <is>
          <t>160.000–240.000+</t>
        </is>
      </c>
      <c r="C6" t="inlineStr">
        <is>
          <t>$40–60+</t>
        </is>
      </c>
      <c r="D6" t="inlineStr">
        <is>
          <t>omarhernandezrey.com/blog</t>
        </is>
      </c>
    </row>
    <row r="7">
      <c r="A7" t="inlineStr">
        <is>
          <t>Three.js/WebGL LatAm (placement)</t>
        </is>
      </c>
      <c r="B7" t="inlineStr">
        <is>
          <t>≈ 80.000–85.000</t>
        </is>
      </c>
      <c r="C7" t="inlineStr">
        <is>
          <t>≈ $20</t>
        </is>
      </c>
      <c r="D7" t="inlineStr">
        <is>
          <t>hireinsouth.com ($3.500/mes)</t>
        </is>
      </c>
    </row>
    <row r="8">
      <c r="A8" t="inlineStr">
        <is>
          <t>Modelador 3D experimentado (CO)</t>
        </is>
      </c>
      <c r="B8" t="inlineStr">
        <is>
          <t>40.000–60.000</t>
        </is>
      </c>
      <c r="C8" t="inlineStr">
        <is>
          <t>≈ $10–15</t>
        </is>
      </c>
      <c r="D8" t="inlineStr">
        <is>
          <t>comunidad CO</t>
        </is>
      </c>
    </row>
    <row r="9">
      <c r="A9" t="inlineStr">
        <is>
          <t>Diseño profesional (tarifario CO 2025)</t>
        </is>
      </c>
      <c r="B9" t="inlineStr">
        <is>
          <t>≈ 90.000</t>
        </is>
      </c>
      <c r="C9" t="inlineStr">
        <is>
          <t>—</t>
        </is>
      </c>
      <c r="D9" t="inlineStr">
        <is>
          <t>disenadorescolombianos.co</t>
        </is>
      </c>
    </row>
    <row r="10">
      <c r="A10" t="inlineStr">
        <is>
          <t>3D artistas mercados internacionales</t>
        </is>
      </c>
      <c r="B10" t="inlineStr">
        <is>
          <t>≈ 2,8M–4M /día</t>
        </is>
      </c>
      <c r="C10" t="inlineStr">
        <is>
          <t>$700–1.000/día</t>
        </is>
      </c>
      <c r="D10" t="inlineStr">
        <is>
          <t>benchmark global</t>
        </is>
      </c>
    </row>
    <row r="11">
      <c r="A11" s="12" t="inlineStr">
        <is>
          <t>Tu RC-WEB actual</t>
        </is>
      </c>
      <c r="B11" s="12" t="inlineStr">
        <is>
          <t>40.000–57.000</t>
        </is>
      </c>
      <c r="C11" s="12" t="inlineStr">
        <is>
          <t>$10–14</t>
        </is>
      </c>
      <c r="D11" s="12" t="inlineStr">
        <is>
          <t>← por debajo del junior: margen de reventa sano</t>
        </is>
      </c>
    </row>
    <row r="12">
      <c r="A12" s="12" t="inlineStr">
        <is>
          <t>Tu RC-ART actual</t>
        </is>
      </c>
      <c r="B12" s="12" t="inlineStr">
        <is>
          <t>30.000–42.000</t>
        </is>
      </c>
      <c r="C12" s="12" t="inlineStr">
        <is>
          <t>$7,5–10,5</t>
        </is>
      </c>
      <c r="D12" s="12" t="inlineStr">
        <is>
          <t>← en línea con modelador local</t>
        </is>
      </c>
    </row>
    <row r="13">
      <c r="A13" s="12" t="inlineStr">
        <is>
          <t>Tu RC-CON actual</t>
        </is>
      </c>
      <c r="B13" s="12" t="inlineStr">
        <is>
          <t>60.000–82.000</t>
        </is>
      </c>
      <c r="C13" s="12" t="inlineStr">
        <is>
          <t>$15–20,5</t>
        </is>
      </c>
      <c r="D13" s="12" t="inlineStr">
        <is>
          <t>← muy por debajo del senior internacional</t>
        </is>
      </c>
    </row>
    <row r="15">
      <c r="A15" s="7" t="inlineStr">
        <is>
          <t>IA (referencia por proyecto, Colombia): chatbot conversacional $6M–16M COP · packs agencia $1,89M–$4,89M · agente empresarial $20.000–80.000 USD (techo internacional).</t>
        </is>
      </c>
    </row>
    <row r="16"/>
    <row r="17">
      <c r="A17" s="11" t="inlineStr">
        <is>
          <t>Fuentes: omarhernandezrey.com · hireinsouth.com · disenadorescolombianos.co · consolidaciondigital.com · mentoracolombia.com · kemenystudio.com</t>
        </is>
      </c>
    </row>
  </sheetData>
  <mergeCells count="1">
    <mergeCell ref="A15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2026-08-31T17:55:27Z</dcterms:created>
  <dcterms:modified xmlns:dcterms="http://purl.org/dc/terms/" xmlns:xsi="http://www.w3.org/2001/XMLSchema-instance" xsi:type="dcterms:W3CDTF">2026-08-31T17:55:27Z</dcterms:modified>
</cp:coreProperties>
</file>