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Catálogo" sheetId="3" state="visible" r:id="rId3"/>
    <sheet xmlns:r="http://schemas.openxmlformats.org/officeDocument/2006/relationships" name="Resumen Servicios" sheetId="4" state="visible" r:id="rId4"/>
    <sheet xmlns:r="http://schemas.openxmlformats.org/officeDocument/2006/relationships" name="Cotizador Web" sheetId="5" state="visible" r:id="rId5"/>
    <sheet xmlns:r="http://schemas.openxmlformats.org/officeDocument/2006/relationships" name="Benchmark CO vs Intl" sheetId="6" state="visible" r:id="rId6"/>
    <sheet xmlns:r="http://schemas.openxmlformats.org/officeDocument/2006/relationships" name="Mapeo" sheetId="7" state="visible" r:id="rId7"/>
    <sheet xmlns:r="http://schemas.openxmlformats.org/officeDocument/2006/relationships" name="Simulador Web" sheetId="8" state="visible" r:id="rId8"/>
  </sheets>
  <definedNames>
    <definedName name="_xlnm._FilterDatabase" localSheetId="2" hidden="1">'Catálogo'!$A$1:$AA$115</definedName>
    <definedName name="_xlnm._FilterDatabase" localSheetId="3" hidden="1">'Resumen Servicios'!$A$1:$Y$29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##"/>
    <numFmt numFmtId="165" formatCode="0.0"/>
    <numFmt numFmtId="166" formatCode="#,##0.##"/>
    <numFmt numFmtId="167" formatCode="0&quot;%&quot;"/>
  </numFmts>
  <fonts count="20">
    <font>
      <name val="Calibri"/>
      <family val="2"/>
      <color theme="1"/>
      <sz val="11"/>
      <scheme val="minor"/>
    </font>
    <font>
      <b val="1"/>
      <color rgb="001d1d1f"/>
      <sz val="14"/>
    </font>
    <font>
      <b val="1"/>
      <sz val="12"/>
    </font>
    <font>
      <b val="1"/>
      <sz val="10.5"/>
    </font>
    <font>
      <b val="1"/>
      <color rgb="00FFFFFF"/>
      <sz val="10"/>
    </font>
    <font>
      <b val="1"/>
    </font>
    <font>
      <b val="1"/>
      <color rgb="007F6000"/>
    </font>
    <font>
      <color rgb="001F4E79"/>
    </font>
    <font>
      <color rgb="0086868b"/>
      <sz val="8"/>
    </font>
    <font>
      <b val="1"/>
      <color rgb="002E7D32"/>
    </font>
    <font>
      <b val="1"/>
      <sz val="10"/>
    </font>
    <font>
      <i val="1"/>
      <sz val="9"/>
    </font>
    <font>
      <b val="1"/>
      <color rgb="000071e3"/>
    </font>
    <font>
      <i val="1"/>
      <color rgb="0086868b"/>
      <sz val="9"/>
    </font>
    <font>
      <b val="1"/>
      <color rgb="000071e3"/>
      <sz val="12"/>
    </font>
    <font>
      <sz val="10"/>
    </font>
    <font>
      <color rgb="0086868b"/>
      <sz val="8.5"/>
    </font>
    <font>
      <sz val="9"/>
    </font>
    <font>
      <b val="1"/>
      <color rgb="002E7D32"/>
      <sz val="13"/>
    </font>
    <font>
      <i val="1"/>
      <color rgb="0086868b"/>
      <sz val="8.5"/>
    </font>
  </fonts>
  <fills count="7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3C4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EFE6F9"/>
      </patternFill>
    </fill>
  </fills>
  <borders count="2">
    <border>
      <left/>
      <right/>
      <top/>
      <bottom/>
      <diagonal/>
    </border>
    <border>
      <bottom style="thin">
        <color rgb="00D2D2D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164" fontId="6" fillId="3" borderId="0" pivotButton="0" quotePrefix="0" xfId="0"/>
    <xf numFmtId="3" fontId="7" fillId="4" borderId="0" pivotButton="0" quotePrefix="0" xfId="0"/>
    <xf numFmtId="0" fontId="8" fillId="0" borderId="0" pivotButton="0" quotePrefix="0" xfId="0"/>
    <xf numFmtId="164" fontId="0" fillId="0" borderId="0" pivotButton="0" quotePrefix="0" xfId="0"/>
    <xf numFmtId="3" fontId="9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6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3" borderId="1" pivotButton="0" quotePrefix="0" xfId="0"/>
    <xf numFmtId="0" fontId="16" fillId="0" borderId="0" applyAlignment="1" pivotButton="0" quotePrefix="0" xfId="0">
      <alignment wrapText="1"/>
    </xf>
    <xf numFmtId="0" fontId="7" fillId="4" borderId="1" pivotButton="0" quotePrefix="0" xfId="0"/>
    <xf numFmtId="1" fontId="7" fillId="4" borderId="1" pivotButton="0" quotePrefix="0" xfId="0"/>
    <xf numFmtId="165" fontId="7" fillId="4" borderId="1" pivotButton="0" quotePrefix="0" xfId="0"/>
    <xf numFmtId="0" fontId="7" fillId="4" borderId="0" pivotButton="0" quotePrefix="0" xfId="0"/>
    <xf numFmtId="0" fontId="17" fillId="0" borderId="0" pivotButton="0" quotePrefix="0" xfId="0"/>
    <xf numFmtId="166" fontId="0" fillId="4" borderId="0" pivotButton="0" quotePrefix="0" xfId="0"/>
    <xf numFmtId="3" fontId="0" fillId="4" borderId="0" pivotButton="0" quotePrefix="0" xfId="0"/>
    <xf numFmtId="2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3" fontId="18" fillId="5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Verificación de tiempos y precios — Cotizador Web (Alexander Woodcock)</t>
        </is>
      </c>
    </row>
    <row r="2">
      <c r="A2" s="2" t="inlineStr"/>
    </row>
    <row r="3">
      <c r="A3" t="inlineStr">
        <is>
          <t>PROPÓSITO: verificar por tu cuenta que los tiempos y precios que muestra la web son correctos,</t>
        </is>
      </c>
    </row>
    <row r="4">
      <c r="A4" t="inlineStr">
        <is>
          <t>y ajustar las horas según lo que realmente te demora. TODAS las cifras salen del mismo motor</t>
        </is>
      </c>
    </row>
    <row r="5">
      <c r="A5" t="inlineStr">
        <is>
          <t>que usa la web (catalogCore.ts + rateCard.ts) — este Excel replica sus fórmulas.</t>
        </is>
      </c>
    </row>
    <row r="6">
      <c r="A6" t="inlineStr"/>
    </row>
    <row r="7">
      <c r="A7" s="3" t="inlineStr">
        <is>
          <t>CÓMO USARLO:</t>
        </is>
      </c>
    </row>
    <row r="8">
      <c r="A8" s="3" t="inlineStr">
        <is>
          <t>1. Hoja CATÁLOGO: edita las HORAS (columnas min/max por nivel) de cualquier subtarea.</t>
        </is>
      </c>
    </row>
    <row r="9">
      <c r="A9" t="inlineStr">
        <is>
          <t xml:space="preserve">   Los precios COP de esa fila se recalculan solos (horas × tarifa por rol).</t>
        </is>
      </c>
    </row>
    <row r="10">
      <c r="A10" s="3" t="inlineStr">
        <is>
          <t>2. Hoja RESUMEN: totales por servicio y nivel (SUMIFS sobre Catálogo), con redondeo</t>
        </is>
      </c>
    </row>
    <row r="11">
      <c r="A11" t="inlineStr">
        <is>
          <t xml:space="preserve">   igual al de la web (mínimo hacia abajo, máximo hacia arriba, paso $1.000 COP).</t>
        </is>
      </c>
    </row>
    <row r="12">
      <c r="A12" s="3" t="inlineStr">
        <is>
          <t>3. Hoja TARIFAS: tarifa por rol COP/USD + benchmark Colombia/internacional.</t>
        </is>
      </c>
    </row>
    <row r="13">
      <c r="A13" t="inlineStr">
        <is>
          <t xml:space="preserve">   Si cambias una tarifa ahí, TODO el Excel y los precios se recalculan.</t>
        </is>
      </c>
    </row>
    <row r="14">
      <c r="A14" s="3" t="inlineStr">
        <is>
          <t>4. Hoja COTIZADOR WEB: qué decisión del wizard afecta qué tarea, con los umbrales</t>
        </is>
      </c>
    </row>
    <row r="15">
      <c r="A15" t="inlineStr">
        <is>
          <t xml:space="preserve">   exactos (tierMaps) y ejemplos resueltos para verificar contra la web.</t>
        </is>
      </c>
    </row>
    <row r="16">
      <c r="A16" t="inlineStr"/>
    </row>
    <row r="17">
      <c r="A17" s="3" t="inlineStr">
        <is>
          <t>CIFRAS = subtotal base (horas × tarifa), SIN descuento de lanzamiento (−25%),</t>
        </is>
      </c>
    </row>
    <row r="18">
      <c r="A18" t="inlineStr">
        <is>
          <t>sin bundle (−5/−10%) y sin urgencia (+30/50%). Esos multiplicadores se aplican aparte.</t>
        </is>
      </c>
    </row>
    <row r="19">
      <c r="A19" t="inlineStr">
        <is>
          <t>La web redondea: subtotal min hacia abajo, max hacia arriba, paso $1.000 COP.</t>
        </is>
      </c>
    </row>
    <row r="20">
      <c r="A20" t="inlineStr"/>
    </row>
    <row r="21">
      <c r="A21" s="3" t="inlineStr">
        <is>
          <t>REGLA ESCALAR (importante): los servicios sin horas XS (WEB-01, WEB-04, RTA-01…,</t>
        </is>
      </c>
    </row>
    <row r="22">
      <c r="A22" t="inlineStr">
        <is>
          <t>21 en total) muestran en XS el precio del tier S — la web nunca muestra $0.</t>
        </is>
      </c>
    </row>
    <row r="23">
      <c r="A23" t="inlineStr">
        <is>
          <t>Este Excel replica esa regla con fórmulas SI(...) en las columnas XS.</t>
        </is>
      </c>
    </row>
    <row r="24">
      <c r="A24" t="inlineStr"/>
    </row>
    <row r="25">
      <c r="A25" t="inlineStr">
        <is>
          <t>CONEXIÓN CON LA WEB: los números de Resumen Servicios son EXACTAMENTE los que</t>
        </is>
      </c>
    </row>
    <row r="26">
      <c r="A26" t="inlineStr">
        <is>
          <t>muestra el cotizador en el panel de precio (mismo motor computeQuote). Verificado</t>
        </is>
      </c>
    </row>
    <row r="27">
      <c r="A27" t="inlineStr">
        <is>
          <t>matriz completa 28 servicios × 5 niveles = 140/140 coinciden (ciclo 8).</t>
        </is>
      </c>
    </row>
    <row r="28">
      <c r="A28" t="inlineStr">
        <is>
          <t>La web muestra en el wizard 8 servicios (Web 3D + CAD); el catálogo de esta hoja</t>
        </is>
      </c>
    </row>
    <row r="29">
      <c r="A29" t="inlineStr">
        <is>
          <t>tiene los 28 — los demás usan el mismo cálculo.</t>
        </is>
      </c>
    </row>
    <row r="30">
      <c r="A30" t="inlineStr"/>
    </row>
    <row r="31">
      <c r="A31" s="3" t="inlineStr">
        <is>
          <t>REGLA DE ENTREGA (días hábiles) usada por la web: ≈ horas_max ÷ 5,5 con colchón.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46" customWidth="1" min="4" max="4"/>
    <col width="11" customWidth="1" min="5" max="5"/>
    <col width="11" customWidth="1" min="6" max="6"/>
  </cols>
  <sheetData>
    <row r="1">
      <c r="A1" s="1" t="inlineStr">
        <is>
          <t>Tarifa por rol — base de todos los cálculos</t>
        </is>
      </c>
    </row>
    <row r="3">
      <c r="A3" s="4" t="inlineStr">
        <is>
          <t>Rol</t>
        </is>
      </c>
      <c r="B3" s="4" t="inlineStr">
        <is>
          <t>Clase</t>
        </is>
      </c>
      <c r="C3" s="4" t="inlineStr">
        <is>
          <t>COP min/h</t>
        </is>
      </c>
      <c r="D3" s="4" t="inlineStr">
        <is>
          <t>COP max/h</t>
        </is>
      </c>
      <c r="E3" s="4" t="inlineStr">
        <is>
          <t>USD min/h</t>
        </is>
      </c>
      <c r="F3" s="4" t="inlineStr">
        <is>
          <t>USD max/h</t>
        </is>
      </c>
    </row>
    <row r="4">
      <c r="A4" t="inlineStr">
        <is>
          <t>Arte 3D / Render</t>
        </is>
      </c>
      <c r="B4" t="inlineStr">
        <is>
          <t>RC-ART</t>
        </is>
      </c>
      <c r="C4" s="5" t="n">
        <v>30000</v>
      </c>
      <c r="D4" s="5" t="n">
        <v>42000</v>
      </c>
      <c r="E4" s="5" t="n">
        <v>20</v>
      </c>
      <c r="F4" s="5" t="n">
        <v>28</v>
      </c>
    </row>
    <row r="5">
      <c r="A5" t="inlineStr">
        <is>
          <t>Asset Realtime</t>
        </is>
      </c>
      <c r="B5" t="inlineStr">
        <is>
          <t>RC-RTA</t>
        </is>
      </c>
      <c r="C5" s="5" t="n">
        <v>38000</v>
      </c>
      <c r="D5" s="5" t="n">
        <v>52000</v>
      </c>
      <c r="E5" s="5" t="n">
        <v>25</v>
      </c>
      <c r="F5" s="5" t="n">
        <v>35</v>
      </c>
    </row>
    <row r="6">
      <c r="A6" t="inlineStr">
        <is>
          <t>Dev Web 3D</t>
        </is>
      </c>
      <c r="B6" t="inlineStr">
        <is>
          <t>RC-WEB</t>
        </is>
      </c>
      <c r="C6" s="5" t="n">
        <v>40000</v>
      </c>
      <c r="D6" s="5" t="n">
        <v>57000</v>
      </c>
      <c r="E6" s="5" t="n">
        <v>27</v>
      </c>
      <c r="F6" s="5" t="n">
        <v>38</v>
      </c>
    </row>
    <row r="7">
      <c r="A7" t="inlineStr">
        <is>
          <t>IA aplicada</t>
        </is>
      </c>
      <c r="B7" t="inlineStr">
        <is>
          <t>RC-AI</t>
        </is>
      </c>
      <c r="C7" s="5" t="n">
        <v>42000</v>
      </c>
      <c r="D7" s="5" t="n">
        <v>60000</v>
      </c>
      <c r="E7" s="5" t="n">
        <v>28</v>
      </c>
      <c r="F7" s="5" t="n">
        <v>40</v>
      </c>
    </row>
    <row r="8">
      <c r="A8" t="inlineStr">
        <is>
          <t>Consultoría</t>
        </is>
      </c>
      <c r="B8" t="inlineStr">
        <is>
          <t>RC-CON</t>
        </is>
      </c>
      <c r="C8" s="5" t="n">
        <v>60000</v>
      </c>
      <c r="D8" s="5" t="n">
        <v>82000</v>
      </c>
      <c r="E8" s="5" t="n">
        <v>40</v>
      </c>
      <c r="F8" s="5" t="n">
        <v>55</v>
      </c>
    </row>
    <row r="9">
      <c r="A9" s="6" t="inlineStr">
        <is>
          <t>Proyecto mínimo (COP / USD)</t>
        </is>
      </c>
      <c r="C9" s="5" t="n">
        <v>400000</v>
      </c>
      <c r="E9" s="5" t="n">
        <v>100</v>
      </c>
    </row>
    <row r="11">
      <c r="A11" s="1" t="inlineStr">
        <is>
          <t>Benchmark de mercado (2025-2026) — referencia, no modifica fórmulas</t>
        </is>
      </c>
    </row>
    <row r="12">
      <c r="A12" s="4" t="inlineStr">
        <is>
          <t>Perfil</t>
        </is>
      </c>
      <c r="B12" s="4" t="inlineStr">
        <is>
          <t>Colombia (COP/h)</t>
        </is>
      </c>
      <c r="C12" s="4" t="inlineStr">
        <is>
          <t>Internacional (USD/h)</t>
        </is>
      </c>
      <c r="D12" s="4" t="inlineStr">
        <is>
          <t>Fuente</t>
        </is>
      </c>
    </row>
    <row r="13">
      <c r="A13" t="inlineStr">
        <is>
          <t>Dev frontend general — junior</t>
        </is>
      </c>
      <c r="B13" t="inlineStr">
        <is>
          <t>60.000–100.000</t>
        </is>
      </c>
      <c r="C13" t="inlineStr">
        <is>
          <t>$15–25/h</t>
        </is>
      </c>
      <c r="D13" t="inlineStr">
        <is>
          <t>omarhernandezrey.com</t>
        </is>
      </c>
    </row>
    <row r="14">
      <c r="A14" t="inlineStr">
        <is>
          <t>Dev frontend general — mid/senior</t>
        </is>
      </c>
      <c r="B14" t="inlineStr">
        <is>
          <t>100.000–240.000</t>
        </is>
      </c>
      <c r="C14" t="inlineStr">
        <is>
          <t>$25–60/h</t>
        </is>
      </c>
      <c r="D14" t="inlineStr">
        <is>
          <t>omarhernandezrey.com</t>
        </is>
      </c>
    </row>
    <row r="15">
      <c r="A15" t="inlineStr">
        <is>
          <t>Dev three.js/WebGL (LatAm, empleador)</t>
        </is>
      </c>
      <c r="B15" t="inlineStr">
        <is>
          <t>≈ 80.000–85.000</t>
        </is>
      </c>
      <c r="C15" t="inlineStr">
        <is>
          <t>≈ $20/h</t>
        </is>
      </c>
      <c r="D15" t="inlineStr">
        <is>
          <t>hireinsouth.com</t>
        </is>
      </c>
    </row>
    <row r="16">
      <c r="A16" t="inlineStr">
        <is>
          <t>Modelador 3D con experiencia</t>
        </is>
      </c>
      <c r="B16" t="inlineStr">
        <is>
          <t>40.000–60.000</t>
        </is>
      </c>
      <c r="C16" t="inlineStr">
        <is>
          <t>≈ $10–15/h</t>
        </is>
      </c>
      <c r="D16" t="inlineStr">
        <is>
          <t>comunidad diseñadores industriales CO</t>
        </is>
      </c>
    </row>
    <row r="17">
      <c r="A17" t="inlineStr">
        <is>
          <t>Diseño profesional (tarifario 2025)</t>
        </is>
      </c>
      <c r="B17" t="inlineStr">
        <is>
          <t>≈ 90.000</t>
        </is>
      </c>
      <c r="C17" t="inlineStr">
        <is>
          <t>—</t>
        </is>
      </c>
      <c r="D17" t="inlineStr">
        <is>
          <t>disenadorescolombianos.co</t>
        </is>
      </c>
    </row>
    <row r="18">
      <c r="A18" t="inlineStr">
        <is>
          <t>3D artistas internacionales</t>
        </is>
      </c>
      <c r="B18" t="inlineStr">
        <is>
          <t>≈ 2,8M–4M /día</t>
        </is>
      </c>
      <c r="C18" t="inlineStr">
        <is>
          <t>$700–1.000/día</t>
        </is>
      </c>
      <c r="D18" t="inlineStr">
        <is>
          <t>benchmark global</t>
        </is>
      </c>
    </row>
    <row r="19">
      <c r="A19" t="inlineStr">
        <is>
          <t>Chatbot IA conversacional (proyecto, CO)</t>
        </is>
      </c>
      <c r="B19" t="inlineStr">
        <is>
          <t>6M–16M</t>
        </is>
      </c>
      <c r="C19" t="inlineStr">
        <is>
          <t>$1.500–4.000</t>
        </is>
      </c>
      <c r="D19" t="inlineStr">
        <is>
          <t>consolidaciondigital.com</t>
        </is>
      </c>
    </row>
    <row r="20">
      <c r="A20" t="inlineStr">
        <is>
          <t>Agente IA empresarial (proyecto)</t>
        </is>
      </c>
      <c r="B20" t="inlineStr">
        <is>
          <t>desde 4,9M</t>
        </is>
      </c>
      <c r="C20" t="inlineStr">
        <is>
          <t>$20.000–80.000 (techo intl.)</t>
        </is>
      </c>
      <c r="D20" t="inlineStr">
        <is>
          <t>mentoracolombia.com · kemenystudio.com</t>
        </is>
      </c>
    </row>
    <row r="22">
      <c r="A22" s="7" t="inlineStr">
        <is>
          <t>Lectura: la tarifa RC-WEB actual (40–57 mil COP/h) está por debajo incluso del junior de mercado → margen de reventa sano para la agencia y margen de subida futuro. RC-ART (30–42 mil) está en línea con el modelador local experimentado.</t>
        </is>
      </c>
    </row>
    <row r="23"/>
    <row r="24"/>
  </sheetData>
  <mergeCells count="1">
    <mergeCell ref="A22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38" customWidth="1" min="4" max="4"/>
    <col width="9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0" customWidth="1" min="26" max="26"/>
    <col width="10" customWidth="1" min="27" max="27"/>
  </cols>
  <sheetData>
    <row r="1">
      <c r="A1" s="4" t="inlineStr">
        <is>
          <t>Servicio ID</t>
        </is>
      </c>
      <c r="B1" s="4" t="inlineStr">
        <is>
          <t>Servicio</t>
        </is>
      </c>
      <c r="C1" s="4" t="inlineStr">
        <is>
          <t>Familia</t>
        </is>
      </c>
      <c r="D1" s="4" t="inlineStr">
        <is>
          <t>Subtarea</t>
        </is>
      </c>
      <c r="E1" s="4" t="inlineStr">
        <is>
          <t>Clase</t>
        </is>
      </c>
      <c r="F1" s="4" t="inlineStr">
        <is>
          <t>XS min</t>
        </is>
      </c>
      <c r="G1" s="4" t="inlineStr">
        <is>
          <t>XS max</t>
        </is>
      </c>
      <c r="H1" s="4" t="inlineStr">
        <is>
          <t>S min</t>
        </is>
      </c>
      <c r="I1" s="4" t="inlineStr">
        <is>
          <t>S max</t>
        </is>
      </c>
      <c r="J1" s="4" t="inlineStr">
        <is>
          <t>M min</t>
        </is>
      </c>
      <c r="K1" s="4" t="inlineStr">
        <is>
          <t>M max</t>
        </is>
      </c>
      <c r="L1" s="4" t="inlineStr">
        <is>
          <t>L min</t>
        </is>
      </c>
      <c r="M1" s="4" t="inlineStr">
        <is>
          <t>L max</t>
        </is>
      </c>
      <c r="N1" s="4" t="inlineStr">
        <is>
          <t>XL min</t>
        </is>
      </c>
      <c r="O1" s="4" t="inlineStr">
        <is>
          <t>XL max</t>
        </is>
      </c>
      <c r="P1" s="4" t="inlineStr">
        <is>
          <t>XS COP min</t>
        </is>
      </c>
      <c r="Q1" s="4" t="inlineStr">
        <is>
          <t>XS COP max</t>
        </is>
      </c>
      <c r="R1" s="4" t="inlineStr">
        <is>
          <t>S COP min</t>
        </is>
      </c>
      <c r="S1" s="4" t="inlineStr">
        <is>
          <t>S COP max</t>
        </is>
      </c>
      <c r="T1" s="4" t="inlineStr">
        <is>
          <t>M COP min</t>
        </is>
      </c>
      <c r="U1" s="4" t="inlineStr">
        <is>
          <t>M COP max</t>
        </is>
      </c>
      <c r="V1" s="4" t="inlineStr">
        <is>
          <t>L COP min</t>
        </is>
      </c>
      <c r="W1" s="4" t="inlineStr">
        <is>
          <t>L COP max</t>
        </is>
      </c>
      <c r="X1" s="4" t="inlineStr">
        <is>
          <t>XL COP min</t>
        </is>
      </c>
      <c r="Y1" s="4" t="inlineStr">
        <is>
          <t>XL COP max</t>
        </is>
      </c>
      <c r="Z1" s="4" t="inlineStr">
        <is>
          <t>tarifa min</t>
        </is>
      </c>
      <c r="AA1" s="4" t="inlineStr">
        <is>
          <t>tarifa max</t>
        </is>
      </c>
    </row>
    <row r="2">
      <c r="A2" t="inlineStr">
        <is>
          <t>RND-01</t>
        </is>
      </c>
      <c r="B2" t="inlineStr">
        <is>
          <t>Render 3D estatico</t>
        </is>
      </c>
      <c r="C2" t="inlineStr">
        <is>
          <t>render</t>
        </is>
      </c>
      <c r="D2" t="inlineStr">
        <is>
          <t>Brief + moodboard</t>
        </is>
      </c>
      <c r="E2" t="inlineStr">
        <is>
          <t>RC-ART</t>
        </is>
      </c>
      <c r="F2" s="8" t="n">
        <v>0.5</v>
      </c>
      <c r="G2" s="8" t="n">
        <v>1</v>
      </c>
      <c r="H2" s="8" t="n">
        <v>0.5</v>
      </c>
      <c r="I2" s="8" t="n">
        <v>1</v>
      </c>
      <c r="J2" s="8" t="n">
        <v>1</v>
      </c>
      <c r="K2" s="8" t="n">
        <v>2</v>
      </c>
      <c r="L2" s="8" t="n">
        <v>1</v>
      </c>
      <c r="M2" s="8" t="n">
        <v>2</v>
      </c>
      <c r="N2" s="8" t="n">
        <v>2</v>
      </c>
      <c r="O2" s="8" t="n">
        <v>3</v>
      </c>
      <c r="R2" s="9">
        <f>F2*$AB2</f>
        <v/>
      </c>
      <c r="S2" s="9">
        <f>G2*$AC2</f>
        <v/>
      </c>
      <c r="T2" s="9">
        <f>H2*$AB2</f>
        <v/>
      </c>
      <c r="U2" s="9">
        <f>I2*$AC2</f>
        <v/>
      </c>
      <c r="V2" s="9">
        <f>J2*$AB2</f>
        <v/>
      </c>
      <c r="W2" s="9">
        <f>K2*$AC2</f>
        <v/>
      </c>
      <c r="X2" s="9">
        <f>L2*$AB2</f>
        <v/>
      </c>
      <c r="Y2" s="9">
        <f>M2*$AC2</f>
        <v/>
      </c>
      <c r="Z2" s="9">
        <f>N2*$AB2</f>
        <v/>
      </c>
      <c r="AA2" s="9">
        <f>O2*$AC2</f>
        <v/>
      </c>
      <c r="AB2" s="5">
        <f>VLOOKUP($E2,Tarifas!$B$4:$F$8,2,0)</f>
        <v/>
      </c>
      <c r="AC2" s="5">
        <f>VLOOKUP($E2,Tarifas!$B$4:$F$8,3,0)</f>
        <v/>
      </c>
    </row>
    <row r="3">
      <c r="A3" s="7" t="inlineStr">
        <is>
          <t>RND-01</t>
        </is>
      </c>
      <c r="B3" t="inlineStr">
        <is>
          <t>Render 3D estatico</t>
        </is>
      </c>
      <c r="C3" t="inlineStr">
        <is>
          <t>render</t>
        </is>
      </c>
      <c r="D3" t="inlineStr">
        <is>
          <t>Setup escena (camara, luz, HDRI)</t>
        </is>
      </c>
      <c r="E3" t="inlineStr">
        <is>
          <t>RC-ART</t>
        </is>
      </c>
      <c r="F3" s="8" t="n">
        <v>0.5</v>
      </c>
      <c r="G3" s="8" t="n">
        <v>1</v>
      </c>
      <c r="H3" s="8" t="n">
        <v>1</v>
      </c>
      <c r="I3" s="8" t="n">
        <v>2</v>
      </c>
      <c r="J3" s="8" t="n">
        <v>1.5</v>
      </c>
      <c r="K3" s="8" t="n">
        <v>3</v>
      </c>
      <c r="L3" s="8" t="n">
        <v>2</v>
      </c>
      <c r="M3" s="8" t="n">
        <v>5</v>
      </c>
      <c r="N3" s="8" t="n">
        <v>4</v>
      </c>
      <c r="O3" s="8" t="n">
        <v>8</v>
      </c>
      <c r="R3" s="9">
        <f>F3*$AB3</f>
        <v/>
      </c>
      <c r="S3" s="9">
        <f>G3*$AC3</f>
        <v/>
      </c>
      <c r="T3" s="9">
        <f>H3*$AB3</f>
        <v/>
      </c>
      <c r="U3" s="9">
        <f>I3*$AC3</f>
        <v/>
      </c>
      <c r="V3" s="9">
        <f>J3*$AB3</f>
        <v/>
      </c>
      <c r="W3" s="9">
        <f>K3*$AC3</f>
        <v/>
      </c>
      <c r="X3" s="9">
        <f>L3*$AB3</f>
        <v/>
      </c>
      <c r="Y3" s="9">
        <f>M3*$AC3</f>
        <v/>
      </c>
      <c r="Z3" s="9">
        <f>N3*$AB3</f>
        <v/>
      </c>
      <c r="AA3" s="9">
        <f>O3*$AC3</f>
        <v/>
      </c>
      <c r="AB3" s="5">
        <f>VLOOKUP($E3,Tarifas!$B$4:$F$8,2,0)</f>
        <v/>
      </c>
      <c r="AC3" s="5">
        <f>VLOOKUP($E3,Tarifas!$B$4:$F$8,3,0)</f>
        <v/>
      </c>
    </row>
    <row r="4">
      <c r="A4" t="inlineStr">
        <is>
          <t>RND-01</t>
        </is>
      </c>
      <c r="B4" t="inlineStr">
        <is>
          <t>Render 3D estatico</t>
        </is>
      </c>
      <c r="C4" t="inlineStr">
        <is>
          <t>render</t>
        </is>
      </c>
      <c r="D4" t="inlineStr">
        <is>
          <t>Materiales y texturizado</t>
        </is>
      </c>
      <c r="E4" t="inlineStr">
        <is>
          <t>RC-ART</t>
        </is>
      </c>
      <c r="F4" s="8" t="n">
        <v>0.5</v>
      </c>
      <c r="G4" s="8" t="n">
        <v>1.5</v>
      </c>
      <c r="H4" s="8" t="n">
        <v>1</v>
      </c>
      <c r="I4" s="8" t="n">
        <v>3</v>
      </c>
      <c r="J4" s="8" t="n">
        <v>2</v>
      </c>
      <c r="K4" s="8" t="n">
        <v>6</v>
      </c>
      <c r="L4" s="8" t="n">
        <v>4</v>
      </c>
      <c r="M4" s="8" t="n">
        <v>10</v>
      </c>
      <c r="N4" s="8" t="n">
        <v>8</v>
      </c>
      <c r="O4" s="8" t="n">
        <v>16</v>
      </c>
      <c r="R4" s="9">
        <f>F4*$AB4</f>
        <v/>
      </c>
      <c r="S4" s="9">
        <f>G4*$AC4</f>
        <v/>
      </c>
      <c r="T4" s="9">
        <f>H4*$AB4</f>
        <v/>
      </c>
      <c r="U4" s="9">
        <f>I4*$AC4</f>
        <v/>
      </c>
      <c r="V4" s="9">
        <f>J4*$AB4</f>
        <v/>
      </c>
      <c r="W4" s="9">
        <f>K4*$AC4</f>
        <v/>
      </c>
      <c r="X4" s="9">
        <f>L4*$AB4</f>
        <v/>
      </c>
      <c r="Y4" s="9">
        <f>M4*$AC4</f>
        <v/>
      </c>
      <c r="Z4" s="9">
        <f>N4*$AB4</f>
        <v/>
      </c>
      <c r="AA4" s="9">
        <f>O4*$AC4</f>
        <v/>
      </c>
      <c r="AB4" s="5">
        <f>VLOOKUP($E4,Tarifas!$B$4:$F$8,2,0)</f>
        <v/>
      </c>
      <c r="AC4" s="5">
        <f>VLOOKUP($E4,Tarifas!$B$4:$F$8,3,0)</f>
        <v/>
      </c>
    </row>
    <row r="5">
      <c r="A5" t="inlineStr">
        <is>
          <t>RND-01</t>
        </is>
      </c>
      <c r="B5" t="inlineStr">
        <is>
          <t>Render 3D estatico</t>
        </is>
      </c>
      <c r="C5" t="inlineStr">
        <is>
          <t>render</t>
        </is>
      </c>
      <c r="D5" t="inlineStr">
        <is>
          <t>Render + denoise</t>
        </is>
      </c>
      <c r="E5" t="inlineStr">
        <is>
          <t>RC-ART</t>
        </is>
      </c>
      <c r="F5" s="8" t="n">
        <v>0.5</v>
      </c>
      <c r="G5" s="8" t="n">
        <v>0.5</v>
      </c>
      <c r="H5" s="8" t="n">
        <v>0.5</v>
      </c>
      <c r="I5" s="8" t="n">
        <v>1</v>
      </c>
      <c r="J5" s="8" t="n">
        <v>1</v>
      </c>
      <c r="K5" s="8" t="n">
        <v>2</v>
      </c>
      <c r="L5" s="8" t="n">
        <v>1.5</v>
      </c>
      <c r="M5" s="8" t="n">
        <v>4</v>
      </c>
      <c r="N5" s="8" t="n">
        <v>3</v>
      </c>
      <c r="O5" s="8" t="n">
        <v>6</v>
      </c>
      <c r="R5" s="9">
        <f>F5*$AB5</f>
        <v/>
      </c>
      <c r="S5" s="9">
        <f>G5*$AC5</f>
        <v/>
      </c>
      <c r="T5" s="9">
        <f>H5*$AB5</f>
        <v/>
      </c>
      <c r="U5" s="9">
        <f>I5*$AC5</f>
        <v/>
      </c>
      <c r="V5" s="9">
        <f>J5*$AB5</f>
        <v/>
      </c>
      <c r="W5" s="9">
        <f>K5*$AC5</f>
        <v/>
      </c>
      <c r="X5" s="9">
        <f>L5*$AB5</f>
        <v/>
      </c>
      <c r="Y5" s="9">
        <f>M5*$AC5</f>
        <v/>
      </c>
      <c r="Z5" s="9">
        <f>N5*$AB5</f>
        <v/>
      </c>
      <c r="AA5" s="9">
        <f>O5*$AC5</f>
        <v/>
      </c>
      <c r="AB5" s="5">
        <f>VLOOKUP($E5,Tarifas!$B$4:$F$8,2,0)</f>
        <v/>
      </c>
      <c r="AC5" s="5">
        <f>VLOOKUP($E5,Tarifas!$B$4:$F$8,3,0)</f>
        <v/>
      </c>
    </row>
    <row r="6">
      <c r="A6" t="inlineStr">
        <is>
          <t>RND-01</t>
        </is>
      </c>
      <c r="B6" t="inlineStr">
        <is>
          <t>Render 3D estatico</t>
        </is>
      </c>
      <c r="C6" t="inlineStr">
        <is>
          <t>render</t>
        </is>
      </c>
      <c r="D6" t="inlineStr">
        <is>
          <t>Post-produccion</t>
        </is>
      </c>
      <c r="E6" t="inlineStr">
        <is>
          <t>RC-ART</t>
        </is>
      </c>
      <c r="F6" s="8" t="n">
        <v>0.25</v>
      </c>
      <c r="G6" s="8" t="n">
        <v>0.5</v>
      </c>
      <c r="H6" s="8" t="n">
        <v>0.5</v>
      </c>
      <c r="I6" s="8" t="n">
        <v>1</v>
      </c>
      <c r="J6" s="8" t="n">
        <v>1</v>
      </c>
      <c r="K6" s="8" t="n">
        <v>2</v>
      </c>
      <c r="L6" s="8" t="n">
        <v>2</v>
      </c>
      <c r="M6" s="8" t="n">
        <v>4</v>
      </c>
      <c r="N6" s="8" t="n">
        <v>4</v>
      </c>
      <c r="O6" s="8" t="n">
        <v>8</v>
      </c>
      <c r="R6" s="9">
        <f>F6*$AB6</f>
        <v/>
      </c>
      <c r="S6" s="9">
        <f>G6*$AC6</f>
        <v/>
      </c>
      <c r="T6" s="9">
        <f>H6*$AB6</f>
        <v/>
      </c>
      <c r="U6" s="9">
        <f>I6*$AC6</f>
        <v/>
      </c>
      <c r="V6" s="9">
        <f>J6*$AB6</f>
        <v/>
      </c>
      <c r="W6" s="9">
        <f>K6*$AC6</f>
        <v/>
      </c>
      <c r="X6" s="9">
        <f>L6*$AB6</f>
        <v/>
      </c>
      <c r="Y6" s="9">
        <f>M6*$AC6</f>
        <v/>
      </c>
      <c r="Z6" s="9">
        <f>N6*$AB6</f>
        <v/>
      </c>
      <c r="AA6" s="9">
        <f>O6*$AC6</f>
        <v/>
      </c>
      <c r="AB6" s="5">
        <f>VLOOKUP($E6,Tarifas!$B$4:$F$8,2,0)</f>
        <v/>
      </c>
      <c r="AC6" s="5">
        <f>VLOOKUP($E6,Tarifas!$B$4:$F$8,3,0)</f>
        <v/>
      </c>
    </row>
    <row r="7">
      <c r="A7" t="inlineStr">
        <is>
          <t>RND-01</t>
        </is>
      </c>
      <c r="B7" t="inlineStr">
        <is>
          <t>Render 3D estatico</t>
        </is>
      </c>
      <c r="C7" t="inlineStr">
        <is>
          <t>render</t>
        </is>
      </c>
      <c r="D7" t="inlineStr">
        <is>
          <t>QA + export</t>
        </is>
      </c>
      <c r="E7" t="inlineStr">
        <is>
          <t>RC-ART</t>
        </is>
      </c>
      <c r="F7" s="8" t="n">
        <v>0.25</v>
      </c>
      <c r="G7" s="8" t="n">
        <v>0.5</v>
      </c>
      <c r="H7" s="8" t="n">
        <v>0.5</v>
      </c>
      <c r="I7" s="8" t="n">
        <v>1</v>
      </c>
      <c r="J7" s="8" t="n">
        <v>0.5</v>
      </c>
      <c r="K7" s="8" t="n">
        <v>1</v>
      </c>
      <c r="L7" s="8" t="n">
        <v>0.5</v>
      </c>
      <c r="M7" s="8" t="n">
        <v>1</v>
      </c>
      <c r="N7" s="8" t="n">
        <v>1</v>
      </c>
      <c r="O7" s="8" t="n">
        <v>2</v>
      </c>
      <c r="R7" s="9">
        <f>F7*$AB7</f>
        <v/>
      </c>
      <c r="S7" s="9">
        <f>G7*$AC7</f>
        <v/>
      </c>
      <c r="T7" s="9">
        <f>H7*$AB7</f>
        <v/>
      </c>
      <c r="U7" s="9">
        <f>I7*$AC7</f>
        <v/>
      </c>
      <c r="V7" s="9">
        <f>J7*$AB7</f>
        <v/>
      </c>
      <c r="W7" s="9">
        <f>K7*$AC7</f>
        <v/>
      </c>
      <c r="X7" s="9">
        <f>L7*$AB7</f>
        <v/>
      </c>
      <c r="Y7" s="9">
        <f>M7*$AC7</f>
        <v/>
      </c>
      <c r="Z7" s="9">
        <f>N7*$AB7</f>
        <v/>
      </c>
      <c r="AA7" s="9">
        <f>O7*$AC7</f>
        <v/>
      </c>
      <c r="AB7" s="5">
        <f>VLOOKUP($E7,Tarifas!$B$4:$F$8,2,0)</f>
        <v/>
      </c>
      <c r="AC7" s="5">
        <f>VLOOKUP($E7,Tarifas!$B$4:$F$8,3,0)</f>
        <v/>
      </c>
    </row>
    <row r="8">
      <c r="A8" t="inlineStr">
        <is>
          <t>RND-02</t>
        </is>
      </c>
      <c r="B8" t="inlineStr">
        <is>
          <t>Animacion 3D (render offline)</t>
        </is>
      </c>
      <c r="C8" t="inlineStr">
        <is>
          <t>render</t>
        </is>
      </c>
      <c r="D8" t="inlineStr">
        <is>
          <t>Storyboard/previs</t>
        </is>
      </c>
      <c r="E8" t="inlineStr">
        <is>
          <t>RC-ART</t>
        </is>
      </c>
      <c r="F8" s="8" t="n">
        <v>0.5</v>
      </c>
      <c r="G8" s="8" t="n">
        <v>1</v>
      </c>
      <c r="H8" s="8" t="n">
        <v>2</v>
      </c>
      <c r="I8" s="8" t="n">
        <v>4</v>
      </c>
      <c r="J8" s="8" t="n">
        <v>3</v>
      </c>
      <c r="K8" s="8" t="n">
        <v>6</v>
      </c>
      <c r="L8" s="8" t="n">
        <v>4</v>
      </c>
      <c r="M8" s="8" t="n">
        <v>8</v>
      </c>
      <c r="N8" s="8" t="n">
        <v>6</v>
      </c>
      <c r="O8" s="8" t="n">
        <v>12</v>
      </c>
      <c r="R8" s="9">
        <f>F8*$AB8</f>
        <v/>
      </c>
      <c r="S8" s="9">
        <f>G8*$AC8</f>
        <v/>
      </c>
      <c r="T8" s="9">
        <f>H8*$AB8</f>
        <v/>
      </c>
      <c r="U8" s="9">
        <f>I8*$AC8</f>
        <v/>
      </c>
      <c r="V8" s="9">
        <f>J8*$AB8</f>
        <v/>
      </c>
      <c r="W8" s="9">
        <f>K8*$AC8</f>
        <v/>
      </c>
      <c r="X8" s="9">
        <f>L8*$AB8</f>
        <v/>
      </c>
      <c r="Y8" s="9">
        <f>M8*$AC8</f>
        <v/>
      </c>
      <c r="Z8" s="9">
        <f>N8*$AB8</f>
        <v/>
      </c>
      <c r="AA8" s="9">
        <f>O8*$AC8</f>
        <v/>
      </c>
      <c r="AB8" s="5">
        <f>VLOOKUP($E8,Tarifas!$B$4:$F$8,2,0)</f>
        <v/>
      </c>
      <c r="AC8" s="5">
        <f>VLOOKUP($E8,Tarifas!$B$4:$F$8,3,0)</f>
        <v/>
      </c>
    </row>
    <row r="9">
      <c r="A9" t="inlineStr">
        <is>
          <t>RND-02</t>
        </is>
      </c>
      <c r="B9" t="inlineStr">
        <is>
          <t>Animacion 3D (render offline)</t>
        </is>
      </c>
      <c r="C9" t="inlineStr">
        <is>
          <t>render</t>
        </is>
      </c>
      <c r="D9" t="inlineStr">
        <is>
          <t>Layout escena y camaras</t>
        </is>
      </c>
      <c r="E9" t="inlineStr">
        <is>
          <t>RC-ART</t>
        </is>
      </c>
      <c r="F9" s="8" t="n">
        <v>0.5</v>
      </c>
      <c r="G9" s="8" t="n">
        <v>1</v>
      </c>
      <c r="H9" s="8" t="n">
        <v>1</v>
      </c>
      <c r="I9" s="8" t="n">
        <v>2</v>
      </c>
      <c r="J9" s="8" t="n">
        <v>2</v>
      </c>
      <c r="K9" s="8" t="n">
        <v>4</v>
      </c>
      <c r="L9" s="8" t="n">
        <v>3</v>
      </c>
      <c r="M9" s="8" t="n">
        <v>6</v>
      </c>
      <c r="N9" s="8" t="n">
        <v>5</v>
      </c>
      <c r="O9" s="8" t="n">
        <v>8</v>
      </c>
      <c r="R9" s="9">
        <f>F9*$AB9</f>
        <v/>
      </c>
      <c r="S9" s="9">
        <f>G9*$AC9</f>
        <v/>
      </c>
      <c r="T9" s="9">
        <f>H9*$AB9</f>
        <v/>
      </c>
      <c r="U9" s="9">
        <f>I9*$AC9</f>
        <v/>
      </c>
      <c r="V9" s="9">
        <f>J9*$AB9</f>
        <v/>
      </c>
      <c r="W9" s="9">
        <f>K9*$AC9</f>
        <v/>
      </c>
      <c r="X9" s="9">
        <f>L9*$AB9</f>
        <v/>
      </c>
      <c r="Y9" s="9">
        <f>M9*$AC9</f>
        <v/>
      </c>
      <c r="Z9" s="9">
        <f>N9*$AB9</f>
        <v/>
      </c>
      <c r="AA9" s="9">
        <f>O9*$AC9</f>
        <v/>
      </c>
      <c r="AB9" s="5">
        <f>VLOOKUP($E9,Tarifas!$B$4:$F$8,2,0)</f>
        <v/>
      </c>
      <c r="AC9" s="5">
        <f>VLOOKUP($E9,Tarifas!$B$4:$F$8,3,0)</f>
        <v/>
      </c>
    </row>
    <row r="10">
      <c r="A10" t="inlineStr">
        <is>
          <t>RND-02</t>
        </is>
      </c>
      <c r="B10" t="inlineStr">
        <is>
          <t>Animacion 3D (render offline)</t>
        </is>
      </c>
      <c r="C10" t="inlineStr">
        <is>
          <t>render</t>
        </is>
      </c>
      <c r="D10" t="inlineStr">
        <is>
          <t>Animacion (camara/objetos)</t>
        </is>
      </c>
      <c r="E10" t="inlineStr">
        <is>
          <t>RC-ART</t>
        </is>
      </c>
      <c r="F10" s="8" t="n">
        <v>1</v>
      </c>
      <c r="G10" s="8" t="n">
        <v>2</v>
      </c>
      <c r="H10" s="8" t="n">
        <v>4</v>
      </c>
      <c r="I10" s="8" t="n">
        <v>8</v>
      </c>
      <c r="J10" s="8" t="n">
        <v>8</v>
      </c>
      <c r="K10" s="8" t="n">
        <v>16</v>
      </c>
      <c r="L10" s="8" t="n">
        <v>12</v>
      </c>
      <c r="M10" s="8" t="n">
        <v>24</v>
      </c>
      <c r="N10" s="8" t="n">
        <v>20</v>
      </c>
      <c r="O10" s="8" t="n">
        <v>40</v>
      </c>
      <c r="R10" s="9">
        <f>F10*$AB10</f>
        <v/>
      </c>
      <c r="S10" s="9">
        <f>G10*$AC10</f>
        <v/>
      </c>
      <c r="T10" s="9">
        <f>H10*$AB10</f>
        <v/>
      </c>
      <c r="U10" s="9">
        <f>I10*$AC10</f>
        <v/>
      </c>
      <c r="V10" s="9">
        <f>J10*$AB10</f>
        <v/>
      </c>
      <c r="W10" s="9">
        <f>K10*$AC10</f>
        <v/>
      </c>
      <c r="X10" s="9">
        <f>L10*$AB10</f>
        <v/>
      </c>
      <c r="Y10" s="9">
        <f>M10*$AC10</f>
        <v/>
      </c>
      <c r="Z10" s="9">
        <f>N10*$AB10</f>
        <v/>
      </c>
      <c r="AA10" s="9">
        <f>O10*$AC10</f>
        <v/>
      </c>
      <c r="AB10" s="5">
        <f>VLOOKUP($E10,Tarifas!$B$4:$F$8,2,0)</f>
        <v/>
      </c>
      <c r="AC10" s="5">
        <f>VLOOKUP($E10,Tarifas!$B$4:$F$8,3,0)</f>
        <v/>
      </c>
    </row>
    <row r="11">
      <c r="A11" t="inlineStr">
        <is>
          <t>RND-02</t>
        </is>
      </c>
      <c r="B11" t="inlineStr">
        <is>
          <t>Animacion 3D (render offline)</t>
        </is>
      </c>
      <c r="C11" t="inlineStr">
        <is>
          <t>render</t>
        </is>
      </c>
      <c r="D11" t="inlineStr">
        <is>
          <t>Iluminacion + lookdev</t>
        </is>
      </c>
      <c r="E11" t="inlineStr">
        <is>
          <t>RC-ART</t>
        </is>
      </c>
      <c r="F11" s="8" t="n">
        <v>1</v>
      </c>
      <c r="G11" s="8" t="n">
        <v>2</v>
      </c>
      <c r="H11" s="8" t="n">
        <v>2</v>
      </c>
      <c r="I11" s="8" t="n">
        <v>4</v>
      </c>
      <c r="J11" s="8" t="n">
        <v>4</v>
      </c>
      <c r="K11" s="8" t="n">
        <v>7</v>
      </c>
      <c r="L11" s="8" t="n">
        <v>5</v>
      </c>
      <c r="M11" s="8" t="n">
        <v>10</v>
      </c>
      <c r="N11" s="8" t="n">
        <v>8</v>
      </c>
      <c r="O11" s="8" t="n">
        <v>14</v>
      </c>
      <c r="R11" s="9">
        <f>F11*$AB11</f>
        <v/>
      </c>
      <c r="S11" s="9">
        <f>G11*$AC11</f>
        <v/>
      </c>
      <c r="T11" s="9">
        <f>H11*$AB11</f>
        <v/>
      </c>
      <c r="U11" s="9">
        <f>I11*$AC11</f>
        <v/>
      </c>
      <c r="V11" s="9">
        <f>J11*$AB11</f>
        <v/>
      </c>
      <c r="W11" s="9">
        <f>K11*$AC11</f>
        <v/>
      </c>
      <c r="X11" s="9">
        <f>L11*$AB11</f>
        <v/>
      </c>
      <c r="Y11" s="9">
        <f>M11*$AC11</f>
        <v/>
      </c>
      <c r="Z11" s="9">
        <f>N11*$AB11</f>
        <v/>
      </c>
      <c r="AA11" s="9">
        <f>O11*$AC11</f>
        <v/>
      </c>
      <c r="AB11" s="5">
        <f>VLOOKUP($E11,Tarifas!$B$4:$F$8,2,0)</f>
        <v/>
      </c>
      <c r="AC11" s="5">
        <f>VLOOKUP($E11,Tarifas!$B$4:$F$8,3,0)</f>
        <v/>
      </c>
    </row>
    <row r="12">
      <c r="A12" t="inlineStr">
        <is>
          <t>RND-02</t>
        </is>
      </c>
      <c r="B12" t="inlineStr">
        <is>
          <t>Animacion 3D (render offline)</t>
        </is>
      </c>
      <c r="C12" t="inlineStr">
        <is>
          <t>render</t>
        </is>
      </c>
      <c r="D12" t="inlineStr">
        <is>
          <t>Renders/passes</t>
        </is>
      </c>
      <c r="E12" t="inlineStr">
        <is>
          <t>RC-ART</t>
        </is>
      </c>
      <c r="F12" s="8" t="n">
        <v>1</v>
      </c>
      <c r="G12" s="8" t="n">
        <v>1.5</v>
      </c>
      <c r="H12" s="8" t="n">
        <v>2</v>
      </c>
      <c r="I12" s="8" t="n">
        <v>3</v>
      </c>
      <c r="J12" s="8" t="n">
        <v>3</v>
      </c>
      <c r="K12" s="8" t="n">
        <v>5</v>
      </c>
      <c r="L12" s="8" t="n">
        <v>4</v>
      </c>
      <c r="M12" s="8" t="n">
        <v>8</v>
      </c>
      <c r="N12" s="8" t="n">
        <v>6</v>
      </c>
      <c r="O12" s="8" t="n">
        <v>12</v>
      </c>
      <c r="R12" s="9">
        <f>F12*$AB12</f>
        <v/>
      </c>
      <c r="S12" s="9">
        <f>G12*$AC12</f>
        <v/>
      </c>
      <c r="T12" s="9">
        <f>H12*$AB12</f>
        <v/>
      </c>
      <c r="U12" s="9">
        <f>I12*$AC12</f>
        <v/>
      </c>
      <c r="V12" s="9">
        <f>J12*$AB12</f>
        <v/>
      </c>
      <c r="W12" s="9">
        <f>K12*$AC12</f>
        <v/>
      </c>
      <c r="X12" s="9">
        <f>L12*$AB12</f>
        <v/>
      </c>
      <c r="Y12" s="9">
        <f>M12*$AC12</f>
        <v/>
      </c>
      <c r="Z12" s="9">
        <f>N12*$AB12</f>
        <v/>
      </c>
      <c r="AA12" s="9">
        <f>O12*$AC12</f>
        <v/>
      </c>
      <c r="AB12" s="5">
        <f>VLOOKUP($E12,Tarifas!$B$4:$F$8,2,0)</f>
        <v/>
      </c>
      <c r="AC12" s="5">
        <f>VLOOKUP($E12,Tarifas!$B$4:$F$8,3,0)</f>
        <v/>
      </c>
    </row>
    <row r="13">
      <c r="A13" t="inlineStr">
        <is>
          <t>RND-02</t>
        </is>
      </c>
      <c r="B13" t="inlineStr">
        <is>
          <t>Animacion 3D (render offline)</t>
        </is>
      </c>
      <c r="C13" t="inlineStr">
        <is>
          <t>render</t>
        </is>
      </c>
      <c r="D13" t="inlineStr">
        <is>
          <t>Composicion, edit, grade</t>
        </is>
      </c>
      <c r="E13" t="inlineStr">
        <is>
          <t>RC-ART</t>
        </is>
      </c>
      <c r="F13" s="8" t="n">
        <v>1</v>
      </c>
      <c r="G13" s="8" t="n">
        <v>1.5</v>
      </c>
      <c r="H13" s="8" t="n">
        <v>2</v>
      </c>
      <c r="I13" s="8" t="n">
        <v>3</v>
      </c>
      <c r="J13" s="8" t="n">
        <v>3</v>
      </c>
      <c r="K13" s="8" t="n">
        <v>5</v>
      </c>
      <c r="L13" s="8" t="n">
        <v>4</v>
      </c>
      <c r="M13" s="8" t="n">
        <v>8</v>
      </c>
      <c r="N13" s="8" t="n">
        <v>6</v>
      </c>
      <c r="O13" s="8" t="n">
        <v>12</v>
      </c>
      <c r="R13" s="9">
        <f>F13*$AB13</f>
        <v/>
      </c>
      <c r="S13" s="9">
        <f>G13*$AC13</f>
        <v/>
      </c>
      <c r="T13" s="9">
        <f>H13*$AB13</f>
        <v/>
      </c>
      <c r="U13" s="9">
        <f>I13*$AC13</f>
        <v/>
      </c>
      <c r="V13" s="9">
        <f>J13*$AB13</f>
        <v/>
      </c>
      <c r="W13" s="9">
        <f>K13*$AC13</f>
        <v/>
      </c>
      <c r="X13" s="9">
        <f>L13*$AB13</f>
        <v/>
      </c>
      <c r="Y13" s="9">
        <f>M13*$AC13</f>
        <v/>
      </c>
      <c r="Z13" s="9">
        <f>N13*$AB13</f>
        <v/>
      </c>
      <c r="AA13" s="9">
        <f>O13*$AC13</f>
        <v/>
      </c>
      <c r="AB13" s="5">
        <f>VLOOKUP($E13,Tarifas!$B$4:$F$8,2,0)</f>
        <v/>
      </c>
      <c r="AC13" s="5">
        <f>VLOOKUP($E13,Tarifas!$B$4:$F$8,3,0)</f>
        <v/>
      </c>
    </row>
    <row r="14">
      <c r="A14" t="inlineStr">
        <is>
          <t>RTA-01</t>
        </is>
      </c>
      <c r="B14" t="inlineStr">
        <is>
          <t>Asset 3D realtime estatico</t>
        </is>
      </c>
      <c r="C14" t="inlineStr">
        <is>
          <t>asset-rt</t>
        </is>
      </c>
      <c r="D14" t="inlineStr">
        <is>
          <t>Intake/QC specs</t>
        </is>
      </c>
      <c r="E14" t="inlineStr">
        <is>
          <t>RC-RTA</t>
        </is>
      </c>
      <c r="F14" s="8" t="n">
        <v>0</v>
      </c>
      <c r="G14" s="8" t="n">
        <v>0</v>
      </c>
      <c r="H14" s="8" t="n">
        <v>0.5</v>
      </c>
      <c r="I14" s="8" t="n">
        <v>1</v>
      </c>
      <c r="J14" s="8" t="n">
        <v>1</v>
      </c>
      <c r="K14" s="8" t="n">
        <v>2</v>
      </c>
      <c r="L14" s="8" t="n">
        <v>2</v>
      </c>
      <c r="M14" s="8" t="n">
        <v>3</v>
      </c>
      <c r="N14" s="8" t="n">
        <v>3</v>
      </c>
      <c r="O14" s="8" t="n">
        <v>5</v>
      </c>
      <c r="R14" s="9">
        <f>F14*$AB14</f>
        <v/>
      </c>
      <c r="S14" s="9">
        <f>G14*$AC14</f>
        <v/>
      </c>
      <c r="T14" s="9">
        <f>H14*$AB14</f>
        <v/>
      </c>
      <c r="U14" s="9">
        <f>I14*$AC14</f>
        <v/>
      </c>
      <c r="V14" s="9">
        <f>J14*$AB14</f>
        <v/>
      </c>
      <c r="W14" s="9">
        <f>K14*$AC14</f>
        <v/>
      </c>
      <c r="X14" s="9">
        <f>L14*$AB14</f>
        <v/>
      </c>
      <c r="Y14" s="9">
        <f>M14*$AC14</f>
        <v/>
      </c>
      <c r="Z14" s="9">
        <f>N14*$AB14</f>
        <v/>
      </c>
      <c r="AA14" s="9">
        <f>O14*$AC14</f>
        <v/>
      </c>
      <c r="AB14" s="5">
        <f>VLOOKUP($E14,Tarifas!$B$4:$F$8,2,0)</f>
        <v/>
      </c>
      <c r="AC14" s="5">
        <f>VLOOKUP($E14,Tarifas!$B$4:$F$8,3,0)</f>
        <v/>
      </c>
    </row>
    <row r="15">
      <c r="A15" t="inlineStr">
        <is>
          <t>RTA-01</t>
        </is>
      </c>
      <c r="B15" t="inlineStr">
        <is>
          <t>Asset 3D realtime estatico</t>
        </is>
      </c>
      <c r="C15" t="inlineStr">
        <is>
          <t>asset-rt</t>
        </is>
      </c>
      <c r="D15" t="inlineStr">
        <is>
          <t>Modelado hi-low</t>
        </is>
      </c>
      <c r="E15" t="inlineStr">
        <is>
          <t>RC-RTA</t>
        </is>
      </c>
      <c r="F15" s="8" t="n">
        <v>0</v>
      </c>
      <c r="G15" s="8" t="n">
        <v>0</v>
      </c>
      <c r="H15" s="8" t="n">
        <v>2</v>
      </c>
      <c r="I15" s="8" t="n">
        <v>4</v>
      </c>
      <c r="J15" s="8" t="n">
        <v>4</v>
      </c>
      <c r="K15" s="8" t="n">
        <v>10</v>
      </c>
      <c r="L15" s="8" t="n">
        <v>10</v>
      </c>
      <c r="M15" s="8" t="n">
        <v>25</v>
      </c>
      <c r="N15" s="8" t="n">
        <v>25</v>
      </c>
      <c r="O15" s="8" t="n">
        <v>80</v>
      </c>
      <c r="R15" s="9">
        <f>F15*$AB15</f>
        <v/>
      </c>
      <c r="S15" s="9">
        <f>G15*$AC15</f>
        <v/>
      </c>
      <c r="T15" s="9">
        <f>H15*$AB15</f>
        <v/>
      </c>
      <c r="U15" s="9">
        <f>I15*$AC15</f>
        <v/>
      </c>
      <c r="V15" s="9">
        <f>J15*$AB15</f>
        <v/>
      </c>
      <c r="W15" s="9">
        <f>K15*$AC15</f>
        <v/>
      </c>
      <c r="X15" s="9">
        <f>L15*$AB15</f>
        <v/>
      </c>
      <c r="Y15" s="9">
        <f>M15*$AC15</f>
        <v/>
      </c>
      <c r="Z15" s="9">
        <f>N15*$AB15</f>
        <v/>
      </c>
      <c r="AA15" s="9">
        <f>O15*$AC15</f>
        <v/>
      </c>
      <c r="AB15" s="5">
        <f>VLOOKUP($E15,Tarifas!$B$4:$F$8,2,0)</f>
        <v/>
      </c>
      <c r="AC15" s="5">
        <f>VLOOKUP($E15,Tarifas!$B$4:$F$8,3,0)</f>
        <v/>
      </c>
    </row>
    <row r="16">
      <c r="A16" t="inlineStr">
        <is>
          <t>RTA-01</t>
        </is>
      </c>
      <c r="B16" t="inlineStr">
        <is>
          <t>Asset 3D realtime estatico</t>
        </is>
      </c>
      <c r="C16" t="inlineStr">
        <is>
          <t>asset-rt</t>
        </is>
      </c>
      <c r="D16" t="inlineStr">
        <is>
          <t>UV unwrap</t>
        </is>
      </c>
      <c r="E16" t="inlineStr">
        <is>
          <t>RC-RTA</t>
        </is>
      </c>
      <c r="F16" s="8" t="n">
        <v>0</v>
      </c>
      <c r="G16" s="8" t="n">
        <v>0</v>
      </c>
      <c r="H16" s="8" t="n">
        <v>1</v>
      </c>
      <c r="I16" s="8" t="n">
        <v>2</v>
      </c>
      <c r="J16" s="8" t="n">
        <v>2</v>
      </c>
      <c r="K16" s="8" t="n">
        <v>4</v>
      </c>
      <c r="L16" s="8" t="n">
        <v>4</v>
      </c>
      <c r="M16" s="8" t="n">
        <v>8</v>
      </c>
      <c r="N16" s="8" t="n">
        <v>8</v>
      </c>
      <c r="O16" s="8" t="n">
        <v>16</v>
      </c>
      <c r="R16" s="9">
        <f>F16*$AB16</f>
        <v/>
      </c>
      <c r="S16" s="9">
        <f>G16*$AC16</f>
        <v/>
      </c>
      <c r="T16" s="9">
        <f>H16*$AB16</f>
        <v/>
      </c>
      <c r="U16" s="9">
        <f>I16*$AC16</f>
        <v/>
      </c>
      <c r="V16" s="9">
        <f>J16*$AB16</f>
        <v/>
      </c>
      <c r="W16" s="9">
        <f>K16*$AC16</f>
        <v/>
      </c>
      <c r="X16" s="9">
        <f>L16*$AB16</f>
        <v/>
      </c>
      <c r="Y16" s="9">
        <f>M16*$AC16</f>
        <v/>
      </c>
      <c r="Z16" s="9">
        <f>N16*$AB16</f>
        <v/>
      </c>
      <c r="AA16" s="9">
        <f>O16*$AC16</f>
        <v/>
      </c>
      <c r="AB16" s="5">
        <f>VLOOKUP($E16,Tarifas!$B$4:$F$8,2,0)</f>
        <v/>
      </c>
      <c r="AC16" s="5">
        <f>VLOOKUP($E16,Tarifas!$B$4:$F$8,3,0)</f>
        <v/>
      </c>
    </row>
    <row r="17">
      <c r="A17" t="inlineStr">
        <is>
          <t>RTA-01</t>
        </is>
      </c>
      <c r="B17" t="inlineStr">
        <is>
          <t>Asset 3D realtime estatico</t>
        </is>
      </c>
      <c r="C17" t="inlineStr">
        <is>
          <t>asset-rt</t>
        </is>
      </c>
      <c r="D17" t="inlineStr">
        <is>
          <t>Baking de mapas</t>
        </is>
      </c>
      <c r="E17" t="inlineStr">
        <is>
          <t>RC-RTA</t>
        </is>
      </c>
      <c r="F17" s="8" t="n">
        <v>0</v>
      </c>
      <c r="G17" s="8" t="n">
        <v>0</v>
      </c>
      <c r="H17" s="8" t="n">
        <v>0.5</v>
      </c>
      <c r="I17" s="8" t="n">
        <v>1</v>
      </c>
      <c r="J17" s="8" t="n">
        <v>1</v>
      </c>
      <c r="K17" s="8" t="n">
        <v>3</v>
      </c>
      <c r="L17" s="8" t="n">
        <v>3</v>
      </c>
      <c r="M17" s="8" t="n">
        <v>6</v>
      </c>
      <c r="N17" s="8" t="n">
        <v>6</v>
      </c>
      <c r="O17" s="8" t="n">
        <v>12</v>
      </c>
      <c r="R17" s="9">
        <f>F17*$AB17</f>
        <v/>
      </c>
      <c r="S17" s="9">
        <f>G17*$AC17</f>
        <v/>
      </c>
      <c r="T17" s="9">
        <f>H17*$AB17</f>
        <v/>
      </c>
      <c r="U17" s="9">
        <f>I17*$AC17</f>
        <v/>
      </c>
      <c r="V17" s="9">
        <f>J17*$AB17</f>
        <v/>
      </c>
      <c r="W17" s="9">
        <f>K17*$AC17</f>
        <v/>
      </c>
      <c r="X17" s="9">
        <f>L17*$AB17</f>
        <v/>
      </c>
      <c r="Y17" s="9">
        <f>M17*$AC17</f>
        <v/>
      </c>
      <c r="Z17" s="9">
        <f>N17*$AB17</f>
        <v/>
      </c>
      <c r="AA17" s="9">
        <f>O17*$AC17</f>
        <v/>
      </c>
      <c r="AB17" s="5">
        <f>VLOOKUP($E17,Tarifas!$B$4:$F$8,2,0)</f>
        <v/>
      </c>
      <c r="AC17" s="5">
        <f>VLOOKUP($E17,Tarifas!$B$4:$F$8,3,0)</f>
        <v/>
      </c>
    </row>
    <row r="18">
      <c r="A18" t="inlineStr">
        <is>
          <t>RTA-01</t>
        </is>
      </c>
      <c r="B18" t="inlineStr">
        <is>
          <t>Asset 3D realtime estatico</t>
        </is>
      </c>
      <c r="C18" t="inlineStr">
        <is>
          <t>asset-rt</t>
        </is>
      </c>
      <c r="D18" t="inlineStr">
        <is>
          <t>Texturizado PBR</t>
        </is>
      </c>
      <c r="E18" t="inlineStr">
        <is>
          <t>RC-RTA</t>
        </is>
      </c>
      <c r="F18" s="8" t="n">
        <v>0</v>
      </c>
      <c r="G18" s="8" t="n">
        <v>0</v>
      </c>
      <c r="H18" s="8" t="n">
        <v>1</v>
      </c>
      <c r="I18" s="8" t="n">
        <v>3</v>
      </c>
      <c r="J18" s="8" t="n">
        <v>3</v>
      </c>
      <c r="K18" s="8" t="n">
        <v>6</v>
      </c>
      <c r="L18" s="8" t="n">
        <v>6</v>
      </c>
      <c r="M18" s="8" t="n">
        <v>14</v>
      </c>
      <c r="N18" s="8" t="n">
        <v>14</v>
      </c>
      <c r="O18" s="8" t="n">
        <v>30</v>
      </c>
      <c r="R18" s="9">
        <f>F18*$AB18</f>
        <v/>
      </c>
      <c r="S18" s="9">
        <f>G18*$AC18</f>
        <v/>
      </c>
      <c r="T18" s="9">
        <f>H18*$AB18</f>
        <v/>
      </c>
      <c r="U18" s="9">
        <f>I18*$AC18</f>
        <v/>
      </c>
      <c r="V18" s="9">
        <f>J18*$AB18</f>
        <v/>
      </c>
      <c r="W18" s="9">
        <f>K18*$AC18</f>
        <v/>
      </c>
      <c r="X18" s="9">
        <f>L18*$AB18</f>
        <v/>
      </c>
      <c r="Y18" s="9">
        <f>M18*$AC18</f>
        <v/>
      </c>
      <c r="Z18" s="9">
        <f>N18*$AB18</f>
        <v/>
      </c>
      <c r="AA18" s="9">
        <f>O18*$AC18</f>
        <v/>
      </c>
      <c r="AB18" s="5">
        <f>VLOOKUP($E18,Tarifas!$B$4:$F$8,2,0)</f>
        <v/>
      </c>
      <c r="AC18" s="5">
        <f>VLOOKUP($E18,Tarifas!$B$4:$F$8,3,0)</f>
        <v/>
      </c>
    </row>
    <row r="19">
      <c r="A19" t="inlineStr">
        <is>
          <t>RTA-01</t>
        </is>
      </c>
      <c r="B19" t="inlineStr">
        <is>
          <t>Asset 3D realtime estatico</t>
        </is>
      </c>
      <c r="C19" t="inlineStr">
        <is>
          <t>asset-rt</t>
        </is>
      </c>
      <c r="D19" t="inlineStr">
        <is>
          <t>Optimizacion LODs/Draco</t>
        </is>
      </c>
      <c r="E19" t="inlineStr">
        <is>
          <t>RC-RTA</t>
        </is>
      </c>
      <c r="F19" s="8" t="n">
        <v>0</v>
      </c>
      <c r="G19" s="8" t="n">
        <v>0</v>
      </c>
      <c r="H19" s="8" t="n">
        <v>0.5</v>
      </c>
      <c r="I19" s="8" t="n">
        <v>1</v>
      </c>
      <c r="J19" s="8" t="n">
        <v>1</v>
      </c>
      <c r="K19" s="8" t="n">
        <v>3</v>
      </c>
      <c r="L19" s="8" t="n">
        <v>3</v>
      </c>
      <c r="M19" s="8" t="n">
        <v>6</v>
      </c>
      <c r="N19" s="8" t="n">
        <v>6</v>
      </c>
      <c r="O19" s="8" t="n">
        <v>12</v>
      </c>
      <c r="R19" s="9">
        <f>F19*$AB19</f>
        <v/>
      </c>
      <c r="S19" s="9">
        <f>G19*$AC19</f>
        <v/>
      </c>
      <c r="T19" s="9">
        <f>H19*$AB19</f>
        <v/>
      </c>
      <c r="U19" s="9">
        <f>I19*$AC19</f>
        <v/>
      </c>
      <c r="V19" s="9">
        <f>J19*$AB19</f>
        <v/>
      </c>
      <c r="W19" s="9">
        <f>K19*$AC19</f>
        <v/>
      </c>
      <c r="X19" s="9">
        <f>L19*$AB19</f>
        <v/>
      </c>
      <c r="Y19" s="9">
        <f>M19*$AC19</f>
        <v/>
      </c>
      <c r="Z19" s="9">
        <f>N19*$AB19</f>
        <v/>
      </c>
      <c r="AA19" s="9">
        <f>O19*$AC19</f>
        <v/>
      </c>
      <c r="AB19" s="5">
        <f>VLOOKUP($E19,Tarifas!$B$4:$F$8,2,0)</f>
        <v/>
      </c>
      <c r="AC19" s="5">
        <f>VLOOKUP($E19,Tarifas!$B$4:$F$8,3,0)</f>
        <v/>
      </c>
    </row>
    <row r="20">
      <c r="A20" t="inlineStr">
        <is>
          <t>RTA-01</t>
        </is>
      </c>
      <c r="B20" t="inlineStr">
        <is>
          <t>Asset 3D realtime estatico</t>
        </is>
      </c>
      <c r="C20" t="inlineStr">
        <is>
          <t>asset-rt</t>
        </is>
      </c>
      <c r="D20" t="inlineStr">
        <is>
          <t>QA motor target</t>
        </is>
      </c>
      <c r="E20" t="inlineStr">
        <is>
          <t>RC-RTA</t>
        </is>
      </c>
      <c r="F20" s="8" t="n">
        <v>0</v>
      </c>
      <c r="G20" s="8" t="n">
        <v>0</v>
      </c>
      <c r="H20" s="8" t="n">
        <v>0.5</v>
      </c>
      <c r="I20" s="8" t="n">
        <v>1</v>
      </c>
      <c r="J20" s="8" t="n">
        <v>1</v>
      </c>
      <c r="K20" s="8" t="n">
        <v>2</v>
      </c>
      <c r="L20" s="8" t="n">
        <v>2</v>
      </c>
      <c r="M20" s="8" t="n">
        <v>4</v>
      </c>
      <c r="N20" s="8" t="n">
        <v>4</v>
      </c>
      <c r="O20" s="8" t="n">
        <v>8</v>
      </c>
      <c r="R20" s="9">
        <f>F20*$AB20</f>
        <v/>
      </c>
      <c r="S20" s="9">
        <f>G20*$AC20</f>
        <v/>
      </c>
      <c r="T20" s="9">
        <f>H20*$AB20</f>
        <v/>
      </c>
      <c r="U20" s="9">
        <f>I20*$AC20</f>
        <v/>
      </c>
      <c r="V20" s="9">
        <f>J20*$AB20</f>
        <v/>
      </c>
      <c r="W20" s="9">
        <f>K20*$AC20</f>
        <v/>
      </c>
      <c r="X20" s="9">
        <f>L20*$AB20</f>
        <v/>
      </c>
      <c r="Y20" s="9">
        <f>M20*$AC20</f>
        <v/>
      </c>
      <c r="Z20" s="9">
        <f>N20*$AB20</f>
        <v/>
      </c>
      <c r="AA20" s="9">
        <f>O20*$AC20</f>
        <v/>
      </c>
      <c r="AB20" s="5">
        <f>VLOOKUP($E20,Tarifas!$B$4:$F$8,2,0)</f>
        <v/>
      </c>
      <c r="AC20" s="5">
        <f>VLOOKUP($E20,Tarifas!$B$4:$F$8,3,0)</f>
        <v/>
      </c>
    </row>
    <row r="21">
      <c r="A21" t="inlineStr">
        <is>
          <t>RTA-02</t>
        </is>
      </c>
      <c r="B21" t="inlineStr">
        <is>
          <t>Asset RT interactuable (hotspots)</t>
        </is>
      </c>
      <c r="C21" t="inlineStr">
        <is>
          <t>asset-rt</t>
        </is>
      </c>
      <c r="D21" t="inlineStr">
        <is>
          <t>Pipeline base (ver RTA-01)</t>
        </is>
      </c>
      <c r="E21" t="inlineStr">
        <is>
          <t>RC-RTA</t>
        </is>
      </c>
      <c r="F21" s="8" t="n">
        <v>0</v>
      </c>
      <c r="G21" s="8" t="n">
        <v>0</v>
      </c>
      <c r="H21" s="8" t="n">
        <v>6</v>
      </c>
      <c r="I21" s="8" t="n">
        <v>13</v>
      </c>
      <c r="J21" s="8" t="n">
        <v>14</v>
      </c>
      <c r="K21" s="8" t="n">
        <v>30</v>
      </c>
      <c r="L21" s="8" t="n">
        <v>30</v>
      </c>
      <c r="M21" s="8" t="n">
        <v>66</v>
      </c>
      <c r="N21" s="8" t="n">
        <v>66</v>
      </c>
      <c r="O21" s="8" t="n">
        <v>163</v>
      </c>
      <c r="R21" s="9">
        <f>F21*$AB21</f>
        <v/>
      </c>
      <c r="S21" s="9">
        <f>G21*$AC21</f>
        <v/>
      </c>
      <c r="T21" s="9">
        <f>H21*$AB21</f>
        <v/>
      </c>
      <c r="U21" s="9">
        <f>I21*$AC21</f>
        <v/>
      </c>
      <c r="V21" s="9">
        <f>J21*$AB21</f>
        <v/>
      </c>
      <c r="W21" s="9">
        <f>K21*$AC21</f>
        <v/>
      </c>
      <c r="X21" s="9">
        <f>L21*$AB21</f>
        <v/>
      </c>
      <c r="Y21" s="9">
        <f>M21*$AC21</f>
        <v/>
      </c>
      <c r="Z21" s="9">
        <f>N21*$AB21</f>
        <v/>
      </c>
      <c r="AA21" s="9">
        <f>O21*$AC21</f>
        <v/>
      </c>
      <c r="AB21" s="5">
        <f>VLOOKUP($E21,Tarifas!$B$4:$F$8,2,0)</f>
        <v/>
      </c>
      <c r="AC21" s="5">
        <f>VLOOKUP($E21,Tarifas!$B$4:$F$8,3,0)</f>
        <v/>
      </c>
    </row>
    <row r="22">
      <c r="A22" t="inlineStr">
        <is>
          <t>RTA-02</t>
        </is>
      </c>
      <c r="B22" t="inlineStr">
        <is>
          <t>Asset RT interactuable (hotspots)</t>
        </is>
      </c>
      <c r="C22" t="inlineStr">
        <is>
          <t>asset-rt</t>
        </is>
      </c>
      <c r="D22" t="inlineStr">
        <is>
          <t>Interactividad basica</t>
        </is>
      </c>
      <c r="E22" t="inlineStr">
        <is>
          <t>RC-WEB</t>
        </is>
      </c>
      <c r="F22" s="8" t="n">
        <v>0</v>
      </c>
      <c r="G22" s="8" t="n">
        <v>0</v>
      </c>
      <c r="H22" s="8" t="n">
        <v>2</v>
      </c>
      <c r="I22" s="8" t="n">
        <v>4</v>
      </c>
      <c r="J22" s="8" t="n">
        <v>4</v>
      </c>
      <c r="K22" s="8" t="n">
        <v>8</v>
      </c>
      <c r="L22" s="8" t="n">
        <v>8</v>
      </c>
      <c r="M22" s="8" t="n">
        <v>16</v>
      </c>
      <c r="N22" s="8" t="n">
        <v>16</v>
      </c>
      <c r="O22" s="8" t="n">
        <v>32</v>
      </c>
      <c r="R22" s="9">
        <f>F22*$AB22</f>
        <v/>
      </c>
      <c r="S22" s="9">
        <f>G22*$AC22</f>
        <v/>
      </c>
      <c r="T22" s="9">
        <f>H22*$AB22</f>
        <v/>
      </c>
      <c r="U22" s="9">
        <f>I22*$AC22</f>
        <v/>
      </c>
      <c r="V22" s="9">
        <f>J22*$AB22</f>
        <v/>
      </c>
      <c r="W22" s="9">
        <f>K22*$AC22</f>
        <v/>
      </c>
      <c r="X22" s="9">
        <f>L22*$AB22</f>
        <v/>
      </c>
      <c r="Y22" s="9">
        <f>M22*$AC22</f>
        <v/>
      </c>
      <c r="Z22" s="9">
        <f>N22*$AB22</f>
        <v/>
      </c>
      <c r="AA22" s="9">
        <f>O22*$AC22</f>
        <v/>
      </c>
      <c r="AB22" s="5">
        <f>VLOOKUP($E22,Tarifas!$B$4:$F$8,2,0)</f>
        <v/>
      </c>
      <c r="AC22" s="5">
        <f>VLOOKUP($E22,Tarifas!$B$4:$F$8,3,0)</f>
        <v/>
      </c>
    </row>
    <row r="23">
      <c r="A23" t="inlineStr">
        <is>
          <t>CAD-01</t>
        </is>
      </c>
      <c r="B23" t="inlineStr">
        <is>
          <t>CAD a WebGL ready (servicio insignia)</t>
        </is>
      </c>
      <c r="C23" t="inlineStr">
        <is>
          <t>datos</t>
        </is>
      </c>
      <c r="D23" t="inlineStr">
        <is>
          <t>Ingesta CAD/QC</t>
        </is>
      </c>
      <c r="E23" t="inlineStr">
        <is>
          <t>RC-RTA</t>
        </is>
      </c>
      <c r="F23" s="8" t="n">
        <v>0.5</v>
      </c>
      <c r="G23" s="8" t="n">
        <v>1</v>
      </c>
      <c r="H23" s="8" t="n">
        <v>0.5</v>
      </c>
      <c r="I23" s="8" t="n">
        <v>1</v>
      </c>
      <c r="J23" s="8" t="n">
        <v>1</v>
      </c>
      <c r="K23" s="8" t="n">
        <v>3</v>
      </c>
      <c r="L23" s="8" t="n">
        <v>3</v>
      </c>
      <c r="M23" s="8" t="n">
        <v>6</v>
      </c>
      <c r="N23" s="8" t="n">
        <v>6</v>
      </c>
      <c r="O23" s="8" t="n">
        <v>15</v>
      </c>
      <c r="R23" s="9">
        <f>F23*$AB23</f>
        <v/>
      </c>
      <c r="S23" s="9">
        <f>G23*$AC23</f>
        <v/>
      </c>
      <c r="T23" s="9">
        <f>H23*$AB23</f>
        <v/>
      </c>
      <c r="U23" s="9">
        <f>I23*$AC23</f>
        <v/>
      </c>
      <c r="V23" s="9">
        <f>J23*$AB23</f>
        <v/>
      </c>
      <c r="W23" s="9">
        <f>K23*$AC23</f>
        <v/>
      </c>
      <c r="X23" s="9">
        <f>L23*$AB23</f>
        <v/>
      </c>
      <c r="Y23" s="9">
        <f>M23*$AC23</f>
        <v/>
      </c>
      <c r="Z23" s="9">
        <f>N23*$AB23</f>
        <v/>
      </c>
      <c r="AA23" s="9">
        <f>O23*$AC23</f>
        <v/>
      </c>
      <c r="AB23" s="5">
        <f>VLOOKUP($E23,Tarifas!$B$4:$F$8,2,0)</f>
        <v/>
      </c>
      <c r="AC23" s="5">
        <f>VLOOKUP($E23,Tarifas!$B$4:$F$8,3,0)</f>
        <v/>
      </c>
    </row>
    <row r="24">
      <c r="A24" t="inlineStr">
        <is>
          <t>CAD-01</t>
        </is>
      </c>
      <c r="B24" t="inlineStr">
        <is>
          <t>CAD a WebGL ready (servicio insignia)</t>
        </is>
      </c>
      <c r="C24" t="inlineStr">
        <is>
          <t>datos</t>
        </is>
      </c>
      <c r="D24" t="inlineStr">
        <is>
          <t>Decimado/retopo por pieza</t>
        </is>
      </c>
      <c r="E24" t="inlineStr">
        <is>
          <t>RC-RTA</t>
        </is>
      </c>
      <c r="F24" s="8" t="n">
        <v>0.75</v>
      </c>
      <c r="G24" s="8" t="n">
        <v>1.5</v>
      </c>
      <c r="H24" s="8" t="n">
        <v>1</v>
      </c>
      <c r="I24" s="8" t="n">
        <v>3</v>
      </c>
      <c r="J24" s="8" t="n">
        <v>3</v>
      </c>
      <c r="K24" s="8" t="n">
        <v>10</v>
      </c>
      <c r="L24" s="8" t="n">
        <v>10</v>
      </c>
      <c r="M24" s="8" t="n">
        <v>30</v>
      </c>
      <c r="N24" s="8" t="n">
        <v>30</v>
      </c>
      <c r="O24" s="8" t="n">
        <v>100</v>
      </c>
      <c r="R24" s="9">
        <f>F24*$AB24</f>
        <v/>
      </c>
      <c r="S24" s="9">
        <f>G24*$AC24</f>
        <v/>
      </c>
      <c r="T24" s="9">
        <f>H24*$AB24</f>
        <v/>
      </c>
      <c r="U24" s="9">
        <f>I24*$AC24</f>
        <v/>
      </c>
      <c r="V24" s="9">
        <f>J24*$AB24</f>
        <v/>
      </c>
      <c r="W24" s="9">
        <f>K24*$AC24</f>
        <v/>
      </c>
      <c r="X24" s="9">
        <f>L24*$AB24</f>
        <v/>
      </c>
      <c r="Y24" s="9">
        <f>M24*$AC24</f>
        <v/>
      </c>
      <c r="Z24" s="9">
        <f>N24*$AB24</f>
        <v/>
      </c>
      <c r="AA24" s="9">
        <f>O24*$AC24</f>
        <v/>
      </c>
      <c r="AB24" s="5">
        <f>VLOOKUP($E24,Tarifas!$B$4:$F$8,2,0)</f>
        <v/>
      </c>
      <c r="AC24" s="5">
        <f>VLOOKUP($E24,Tarifas!$B$4:$F$8,3,0)</f>
        <v/>
      </c>
    </row>
    <row r="25">
      <c r="A25" t="inlineStr">
        <is>
          <t>CAD-01</t>
        </is>
      </c>
      <c r="B25" t="inlineStr">
        <is>
          <t>CAD a WebGL ready (servicio insignia)</t>
        </is>
      </c>
      <c r="C25" t="inlineStr">
        <is>
          <t>datos</t>
        </is>
      </c>
      <c r="D25" t="inlineStr">
        <is>
          <t>UVs + baking batch</t>
        </is>
      </c>
      <c r="E25" t="inlineStr">
        <is>
          <t>RC-RTA</t>
        </is>
      </c>
      <c r="F25" s="8" t="n">
        <v>0.5</v>
      </c>
      <c r="G25" s="8" t="n">
        <v>1.25</v>
      </c>
      <c r="H25" s="8" t="n">
        <v>1</v>
      </c>
      <c r="I25" s="8" t="n">
        <v>2</v>
      </c>
      <c r="J25" s="8" t="n">
        <v>2</v>
      </c>
      <c r="K25" s="8" t="n">
        <v>6</v>
      </c>
      <c r="L25" s="8" t="n">
        <v>6</v>
      </c>
      <c r="M25" s="8" t="n">
        <v>15</v>
      </c>
      <c r="N25" s="8" t="n">
        <v>15</v>
      </c>
      <c r="O25" s="8" t="n">
        <v>40</v>
      </c>
      <c r="R25" s="9">
        <f>F25*$AB25</f>
        <v/>
      </c>
      <c r="S25" s="9">
        <f>G25*$AC25</f>
        <v/>
      </c>
      <c r="T25" s="9">
        <f>H25*$AB25</f>
        <v/>
      </c>
      <c r="U25" s="9">
        <f>I25*$AC25</f>
        <v/>
      </c>
      <c r="V25" s="9">
        <f>J25*$AB25</f>
        <v/>
      </c>
      <c r="W25" s="9">
        <f>K25*$AC25</f>
        <v/>
      </c>
      <c r="X25" s="9">
        <f>L25*$AB25</f>
        <v/>
      </c>
      <c r="Y25" s="9">
        <f>M25*$AC25</f>
        <v/>
      </c>
      <c r="Z25" s="9">
        <f>N25*$AB25</f>
        <v/>
      </c>
      <c r="AA25" s="9">
        <f>O25*$AC25</f>
        <v/>
      </c>
      <c r="AB25" s="5">
        <f>VLOOKUP($E25,Tarifas!$B$4:$F$8,2,0)</f>
        <v/>
      </c>
      <c r="AC25" s="5">
        <f>VLOOKUP($E25,Tarifas!$B$4:$F$8,3,0)</f>
        <v/>
      </c>
    </row>
    <row r="26">
      <c r="A26" t="inlineStr">
        <is>
          <t>CAD-01</t>
        </is>
      </c>
      <c r="B26" t="inlineStr">
        <is>
          <t>CAD a WebGL ready (servicio insignia)</t>
        </is>
      </c>
      <c r="C26" t="inlineStr">
        <is>
          <t>datos</t>
        </is>
      </c>
      <c r="D26" t="inlineStr">
        <is>
          <t>Texturas PBR tecnicos</t>
        </is>
      </c>
      <c r="E26" t="inlineStr">
        <is>
          <t>RC-ART</t>
        </is>
      </c>
      <c r="F26" s="8" t="n">
        <v>0.75</v>
      </c>
      <c r="G26" s="8" t="n">
        <v>1.5</v>
      </c>
      <c r="H26" s="8" t="n">
        <v>1</v>
      </c>
      <c r="I26" s="8" t="n">
        <v>3</v>
      </c>
      <c r="J26" s="8" t="n">
        <v>3</v>
      </c>
      <c r="K26" s="8" t="n">
        <v>8</v>
      </c>
      <c r="L26" s="8" t="n">
        <v>8</v>
      </c>
      <c r="M26" s="8" t="n">
        <v>20</v>
      </c>
      <c r="N26" s="8" t="n">
        <v>20</v>
      </c>
      <c r="O26" s="8" t="n">
        <v>45</v>
      </c>
      <c r="R26" s="9">
        <f>F26*$AB26</f>
        <v/>
      </c>
      <c r="S26" s="9">
        <f>G26*$AC26</f>
        <v/>
      </c>
      <c r="T26" s="9">
        <f>H26*$AB26</f>
        <v/>
      </c>
      <c r="U26" s="9">
        <f>I26*$AC26</f>
        <v/>
      </c>
      <c r="V26" s="9">
        <f>J26*$AB26</f>
        <v/>
      </c>
      <c r="W26" s="9">
        <f>K26*$AC26</f>
        <v/>
      </c>
      <c r="X26" s="9">
        <f>L26*$AB26</f>
        <v/>
      </c>
      <c r="Y26" s="9">
        <f>M26*$AC26</f>
        <v/>
      </c>
      <c r="Z26" s="9">
        <f>N26*$AB26</f>
        <v/>
      </c>
      <c r="AA26" s="9">
        <f>O26*$AC26</f>
        <v/>
      </c>
      <c r="AB26" s="5">
        <f>VLOOKUP($E26,Tarifas!$B$4:$F$8,2,0)</f>
        <v/>
      </c>
      <c r="AC26" s="5">
        <f>VLOOKUP($E26,Tarifas!$B$4:$F$8,3,0)</f>
        <v/>
      </c>
    </row>
    <row r="27">
      <c r="A27" t="inlineStr">
        <is>
          <t>CAD-01</t>
        </is>
      </c>
      <c r="B27" t="inlineStr">
        <is>
          <t>CAD a WebGL ready (servicio insignia)</t>
        </is>
      </c>
      <c r="C27" t="inlineStr">
        <is>
          <t>datos</t>
        </is>
      </c>
      <c r="D27" t="inlineStr">
        <is>
          <t>Jerarquia/metadata por pieza</t>
        </is>
      </c>
      <c r="E27" t="inlineStr">
        <is>
          <t>RC-RTA</t>
        </is>
      </c>
      <c r="F27" s="8" t="n">
        <v>0.25</v>
      </c>
      <c r="G27" s="8" t="n">
        <v>0.75</v>
      </c>
      <c r="H27" s="8" t="n">
        <v>0.5</v>
      </c>
      <c r="I27" s="8" t="n">
        <v>1</v>
      </c>
      <c r="J27" s="8" t="n">
        <v>1</v>
      </c>
      <c r="K27" s="8" t="n">
        <v>3</v>
      </c>
      <c r="L27" s="8" t="n">
        <v>3</v>
      </c>
      <c r="M27" s="8" t="n">
        <v>8</v>
      </c>
      <c r="N27" s="8" t="n">
        <v>8</v>
      </c>
      <c r="O27" s="8" t="n">
        <v>20</v>
      </c>
      <c r="R27" s="9">
        <f>F27*$AB27</f>
        <v/>
      </c>
      <c r="S27" s="9">
        <f>G27*$AC27</f>
        <v/>
      </c>
      <c r="T27" s="9">
        <f>H27*$AB27</f>
        <v/>
      </c>
      <c r="U27" s="9">
        <f>I27*$AC27</f>
        <v/>
      </c>
      <c r="V27" s="9">
        <f>J27*$AB27</f>
        <v/>
      </c>
      <c r="W27" s="9">
        <f>K27*$AC27</f>
        <v/>
      </c>
      <c r="X27" s="9">
        <f>L27*$AB27</f>
        <v/>
      </c>
      <c r="Y27" s="9">
        <f>M27*$AC27</f>
        <v/>
      </c>
      <c r="Z27" s="9">
        <f>N27*$AB27</f>
        <v/>
      </c>
      <c r="AA27" s="9">
        <f>O27*$AC27</f>
        <v/>
      </c>
      <c r="AB27" s="5">
        <f>VLOOKUP($E27,Tarifas!$B$4:$F$8,2,0)</f>
        <v/>
      </c>
      <c r="AC27" s="5">
        <f>VLOOKUP($E27,Tarifas!$B$4:$F$8,3,0)</f>
        <v/>
      </c>
    </row>
    <row r="28">
      <c r="A28" t="inlineStr">
        <is>
          <t>CAD-01</t>
        </is>
      </c>
      <c r="B28" t="inlineStr">
        <is>
          <t>CAD a WebGL ready (servicio insignia)</t>
        </is>
      </c>
      <c r="C28" t="inlineStr">
        <is>
          <t>datos</t>
        </is>
      </c>
      <c r="D28" t="inlineStr">
        <is>
          <t>LODs + compresion</t>
        </is>
      </c>
      <c r="E28" t="inlineStr">
        <is>
          <t>RC-RTA</t>
        </is>
      </c>
      <c r="F28" s="8" t="n">
        <v>0.25</v>
      </c>
      <c r="G28" s="8" t="n">
        <v>0.75</v>
      </c>
      <c r="H28" s="8" t="n">
        <v>0.5</v>
      </c>
      <c r="I28" s="8" t="n">
        <v>1</v>
      </c>
      <c r="J28" s="8" t="n">
        <v>1</v>
      </c>
      <c r="K28" s="8" t="n">
        <v>3</v>
      </c>
      <c r="L28" s="8" t="n">
        <v>3</v>
      </c>
      <c r="M28" s="8" t="n">
        <v>8</v>
      </c>
      <c r="N28" s="8" t="n">
        <v>8</v>
      </c>
      <c r="O28" s="8" t="n">
        <v>18</v>
      </c>
      <c r="R28" s="9">
        <f>F28*$AB28</f>
        <v/>
      </c>
      <c r="S28" s="9">
        <f>G28*$AC28</f>
        <v/>
      </c>
      <c r="T28" s="9">
        <f>H28*$AB28</f>
        <v/>
      </c>
      <c r="U28" s="9">
        <f>I28*$AC28</f>
        <v/>
      </c>
      <c r="V28" s="9">
        <f>J28*$AB28</f>
        <v/>
      </c>
      <c r="W28" s="9">
        <f>K28*$AC28</f>
        <v/>
      </c>
      <c r="X28" s="9">
        <f>L28*$AB28</f>
        <v/>
      </c>
      <c r="Y28" s="9">
        <f>M28*$AC28</f>
        <v/>
      </c>
      <c r="Z28" s="9">
        <f>N28*$AB28</f>
        <v/>
      </c>
      <c r="AA28" s="9">
        <f>O28*$AC28</f>
        <v/>
      </c>
      <c r="AB28" s="5">
        <f>VLOOKUP($E28,Tarifas!$B$4:$F$8,2,0)</f>
        <v/>
      </c>
      <c r="AC28" s="5">
        <f>VLOOKUP($E28,Tarifas!$B$4:$F$8,3,0)</f>
        <v/>
      </c>
    </row>
    <row r="29">
      <c r="A29" t="inlineStr">
        <is>
          <t>CAD-01</t>
        </is>
      </c>
      <c r="B29" t="inlineStr">
        <is>
          <t>CAD a WebGL ready (servicio insignia)</t>
        </is>
      </c>
      <c r="C29" t="inlineStr">
        <is>
          <t>datos</t>
        </is>
      </c>
      <c r="D29" t="inlineStr">
        <is>
          <t>QA visor + reporte perf</t>
        </is>
      </c>
      <c r="E29" t="inlineStr">
        <is>
          <t>RC-WEB</t>
        </is>
      </c>
      <c r="F29" s="8" t="n">
        <v>0.25</v>
      </c>
      <c r="G29" s="8" t="n">
        <v>0.75</v>
      </c>
      <c r="H29" s="8" t="n">
        <v>0.5</v>
      </c>
      <c r="I29" s="8" t="n">
        <v>1</v>
      </c>
      <c r="J29" s="8" t="n">
        <v>1</v>
      </c>
      <c r="K29" s="8" t="n">
        <v>2</v>
      </c>
      <c r="L29" s="8" t="n">
        <v>2</v>
      </c>
      <c r="M29" s="8" t="n">
        <v>5</v>
      </c>
      <c r="N29" s="8" t="n">
        <v>5</v>
      </c>
      <c r="O29" s="8" t="n">
        <v>12</v>
      </c>
      <c r="R29" s="9">
        <f>F29*$AB29</f>
        <v/>
      </c>
      <c r="S29" s="9">
        <f>G29*$AC29</f>
        <v/>
      </c>
      <c r="T29" s="9">
        <f>H29*$AB29</f>
        <v/>
      </c>
      <c r="U29" s="9">
        <f>I29*$AC29</f>
        <v/>
      </c>
      <c r="V29" s="9">
        <f>J29*$AB29</f>
        <v/>
      </c>
      <c r="W29" s="9">
        <f>K29*$AC29</f>
        <v/>
      </c>
      <c r="X29" s="9">
        <f>L29*$AB29</f>
        <v/>
      </c>
      <c r="Y29" s="9">
        <f>M29*$AC29</f>
        <v/>
      </c>
      <c r="Z29" s="9">
        <f>N29*$AB29</f>
        <v/>
      </c>
      <c r="AA29" s="9">
        <f>O29*$AC29</f>
        <v/>
      </c>
      <c r="AB29" s="5">
        <f>VLOOKUP($E29,Tarifas!$B$4:$F$8,2,0)</f>
        <v/>
      </c>
      <c r="AC29" s="5">
        <f>VLOOKUP($E29,Tarifas!$B$4:$F$8,3,0)</f>
        <v/>
      </c>
    </row>
    <row r="30">
      <c r="A30" t="inlineStr">
        <is>
          <t>WEB-01</t>
        </is>
      </c>
      <c r="B30" t="inlineStr">
        <is>
          <t>Visor custom three.js / Babylon.js</t>
        </is>
      </c>
      <c r="C30" t="inlineStr">
        <is>
          <t>web-3d</t>
        </is>
      </c>
      <c r="D30" t="inlineStr">
        <is>
          <t>Spec + pipeline de carga</t>
        </is>
      </c>
      <c r="E30" t="inlineStr">
        <is>
          <t>RC-WEB</t>
        </is>
      </c>
      <c r="F30" s="8" t="n">
        <v>0</v>
      </c>
      <c r="G30" s="8" t="n">
        <v>0</v>
      </c>
      <c r="H30" s="8" t="n">
        <v>2.5</v>
      </c>
      <c r="I30" s="8" t="n">
        <v>6</v>
      </c>
      <c r="J30" s="8" t="n">
        <v>7</v>
      </c>
      <c r="K30" s="8" t="n">
        <v>13</v>
      </c>
      <c r="L30" s="8" t="n">
        <v>14</v>
      </c>
      <c r="M30" s="8" t="n">
        <v>28</v>
      </c>
      <c r="N30" s="8" t="n">
        <v>28</v>
      </c>
      <c r="O30" s="8" t="n">
        <v>56</v>
      </c>
      <c r="R30" s="9">
        <f>F30*$AB30</f>
        <v/>
      </c>
      <c r="S30" s="9">
        <f>G30*$AC30</f>
        <v/>
      </c>
      <c r="T30" s="9">
        <f>H30*$AB30</f>
        <v/>
      </c>
      <c r="U30" s="9">
        <f>I30*$AC30</f>
        <v/>
      </c>
      <c r="V30" s="9">
        <f>J30*$AB30</f>
        <v/>
      </c>
      <c r="W30" s="9">
        <f>K30*$AC30</f>
        <v/>
      </c>
      <c r="X30" s="9">
        <f>L30*$AB30</f>
        <v/>
      </c>
      <c r="Y30" s="9">
        <f>M30*$AC30</f>
        <v/>
      </c>
      <c r="Z30" s="9">
        <f>N30*$AB30</f>
        <v/>
      </c>
      <c r="AA30" s="9">
        <f>O30*$AC30</f>
        <v/>
      </c>
      <c r="AB30" s="5">
        <f>VLOOKUP($E30,Tarifas!$B$4:$F$8,2,0)</f>
        <v/>
      </c>
      <c r="AC30" s="5">
        <f>VLOOKUP($E30,Tarifas!$B$4:$F$8,3,0)</f>
        <v/>
      </c>
    </row>
    <row r="31">
      <c r="A31" t="inlineStr">
        <is>
          <t>WEB-01</t>
        </is>
      </c>
      <c r="B31" t="inlineStr">
        <is>
          <t>Visor custom three.js / Babylon.js</t>
        </is>
      </c>
      <c r="C31" t="inlineStr">
        <is>
          <t>web-3d</t>
        </is>
      </c>
      <c r="D31" t="inlineStr">
        <is>
          <t>Interaccion + UI overlay</t>
        </is>
      </c>
      <c r="E31" t="inlineStr">
        <is>
          <t>RC-WEB</t>
        </is>
      </c>
      <c r="F31" s="8" t="n">
        <v>0</v>
      </c>
      <c r="G31" s="8" t="n">
        <v>0</v>
      </c>
      <c r="H31" s="8" t="n">
        <v>3.5</v>
      </c>
      <c r="I31" s="8" t="n">
        <v>9</v>
      </c>
      <c r="J31" s="8" t="n">
        <v>9</v>
      </c>
      <c r="K31" s="8" t="n">
        <v>18</v>
      </c>
      <c r="L31" s="8" t="n">
        <v>18</v>
      </c>
      <c r="M31" s="8" t="n">
        <v>38</v>
      </c>
      <c r="N31" s="8" t="n">
        <v>38</v>
      </c>
      <c r="O31" s="8" t="n">
        <v>76</v>
      </c>
      <c r="R31" s="9">
        <f>F31*$AB31</f>
        <v/>
      </c>
      <c r="S31" s="9">
        <f>G31*$AC31</f>
        <v/>
      </c>
      <c r="T31" s="9">
        <f>H31*$AB31</f>
        <v/>
      </c>
      <c r="U31" s="9">
        <f>I31*$AC31</f>
        <v/>
      </c>
      <c r="V31" s="9">
        <f>J31*$AB31</f>
        <v/>
      </c>
      <c r="W31" s="9">
        <f>K31*$AC31</f>
        <v/>
      </c>
      <c r="X31" s="9">
        <f>L31*$AB31</f>
        <v/>
      </c>
      <c r="Y31" s="9">
        <f>M31*$AC31</f>
        <v/>
      </c>
      <c r="Z31" s="9">
        <f>N31*$AB31</f>
        <v/>
      </c>
      <c r="AA31" s="9">
        <f>O31*$AC31</f>
        <v/>
      </c>
      <c r="AB31" s="5">
        <f>VLOOKUP($E31,Tarifas!$B$4:$F$8,2,0)</f>
        <v/>
      </c>
      <c r="AC31" s="5">
        <f>VLOOKUP($E31,Tarifas!$B$4:$F$8,3,0)</f>
        <v/>
      </c>
    </row>
    <row r="32">
      <c r="A32" t="inlineStr">
        <is>
          <t>WEB-01</t>
        </is>
      </c>
      <c r="B32" t="inlineStr">
        <is>
          <t>Visor custom three.js / Babylon.js</t>
        </is>
      </c>
      <c r="C32" t="inlineStr">
        <is>
          <t>web-3d</t>
        </is>
      </c>
      <c r="D32" t="inlineStr">
        <is>
          <t>Perf movil + QA + entrega</t>
        </is>
      </c>
      <c r="E32" t="inlineStr">
        <is>
          <t>RC-WEB</t>
        </is>
      </c>
      <c r="F32" s="8" t="n">
        <v>0</v>
      </c>
      <c r="G32" s="8" t="n">
        <v>0</v>
      </c>
      <c r="H32" s="8" t="n">
        <v>1.5</v>
      </c>
      <c r="I32" s="8" t="n">
        <v>5</v>
      </c>
      <c r="J32" s="8" t="n">
        <v>4</v>
      </c>
      <c r="K32" s="8" t="n">
        <v>9</v>
      </c>
      <c r="L32" s="8" t="n">
        <v>10</v>
      </c>
      <c r="M32" s="8" t="n">
        <v>22</v>
      </c>
      <c r="N32" s="8" t="n">
        <v>22</v>
      </c>
      <c r="O32" s="8" t="n">
        <v>49</v>
      </c>
      <c r="R32" s="9">
        <f>F32*$AB32</f>
        <v/>
      </c>
      <c r="S32" s="9">
        <f>G32*$AC32</f>
        <v/>
      </c>
      <c r="T32" s="9">
        <f>H32*$AB32</f>
        <v/>
      </c>
      <c r="U32" s="9">
        <f>I32*$AC32</f>
        <v/>
      </c>
      <c r="V32" s="9">
        <f>J32*$AB32</f>
        <v/>
      </c>
      <c r="W32" s="9">
        <f>K32*$AC32</f>
        <v/>
      </c>
      <c r="X32" s="9">
        <f>L32*$AB32</f>
        <v/>
      </c>
      <c r="Y32" s="9">
        <f>M32*$AC32</f>
        <v/>
      </c>
      <c r="Z32" s="9">
        <f>N32*$AB32</f>
        <v/>
      </c>
      <c r="AA32" s="9">
        <f>O32*$AC32</f>
        <v/>
      </c>
      <c r="AB32" s="5">
        <f>VLOOKUP($E32,Tarifas!$B$4:$F$8,2,0)</f>
        <v/>
      </c>
      <c r="AC32" s="5">
        <f>VLOOKUP($E32,Tarifas!$B$4:$F$8,3,0)</f>
        <v/>
      </c>
    </row>
    <row r="33">
      <c r="A33" t="inlineStr">
        <is>
          <t>WEB-04</t>
        </is>
      </c>
      <c r="B33" t="inlineStr">
        <is>
          <t>Web App 3D (configurador/herramienta)</t>
        </is>
      </c>
      <c r="C33" t="inlineStr">
        <is>
          <t>web-3d</t>
        </is>
      </c>
      <c r="D33" t="inlineStr">
        <is>
          <t>Discovery/spec funcional</t>
        </is>
      </c>
      <c r="E33" t="inlineStr">
        <is>
          <t>RC-WEB</t>
        </is>
      </c>
      <c r="F33" s="8" t="n">
        <v>0</v>
      </c>
      <c r="G33" s="8" t="n">
        <v>0</v>
      </c>
      <c r="H33" s="8" t="n">
        <v>5</v>
      </c>
      <c r="I33" s="8" t="n">
        <v>11</v>
      </c>
      <c r="J33" s="8" t="n">
        <v>11</v>
      </c>
      <c r="K33" s="8" t="n">
        <v>26</v>
      </c>
      <c r="L33" s="8" t="n">
        <v>27</v>
      </c>
      <c r="M33" s="8" t="n">
        <v>57</v>
      </c>
      <c r="N33" s="8" t="n">
        <v>57</v>
      </c>
      <c r="O33" s="8" t="n">
        <v>112</v>
      </c>
      <c r="R33" s="9">
        <f>F33*$AB33</f>
        <v/>
      </c>
      <c r="S33" s="9">
        <f>G33*$AC33</f>
        <v/>
      </c>
      <c r="T33" s="9">
        <f>H33*$AB33</f>
        <v/>
      </c>
      <c r="U33" s="9">
        <f>I33*$AC33</f>
        <v/>
      </c>
      <c r="V33" s="9">
        <f>J33*$AB33</f>
        <v/>
      </c>
      <c r="W33" s="9">
        <f>K33*$AC33</f>
        <v/>
      </c>
      <c r="X33" s="9">
        <f>L33*$AB33</f>
        <v/>
      </c>
      <c r="Y33" s="9">
        <f>M33*$AC33</f>
        <v/>
      </c>
      <c r="Z33" s="9">
        <f>N33*$AB33</f>
        <v/>
      </c>
      <c r="AA33" s="9">
        <f>O33*$AC33</f>
        <v/>
      </c>
      <c r="AB33" s="5">
        <f>VLOOKUP($E33,Tarifas!$B$4:$F$8,2,0)</f>
        <v/>
      </c>
      <c r="AC33" s="5">
        <f>VLOOKUP($E33,Tarifas!$B$4:$F$8,3,0)</f>
        <v/>
      </c>
    </row>
    <row r="34">
      <c r="A34" t="inlineStr">
        <is>
          <t>WEB-04</t>
        </is>
      </c>
      <c r="B34" t="inlineStr">
        <is>
          <t>Web App 3D (configurador/herramienta)</t>
        </is>
      </c>
      <c r="C34" t="inlineStr">
        <is>
          <t>web-3d</t>
        </is>
      </c>
      <c r="D34" t="inlineStr">
        <is>
          <t>Arquitectura + escena configurable</t>
        </is>
      </c>
      <c r="E34" t="inlineStr">
        <is>
          <t>RC-WEB</t>
        </is>
      </c>
      <c r="F34" s="8" t="n">
        <v>0</v>
      </c>
      <c r="G34" s="8" t="n">
        <v>0</v>
      </c>
      <c r="H34" s="8" t="n">
        <v>11</v>
      </c>
      <c r="I34" s="8" t="n">
        <v>23</v>
      </c>
      <c r="J34" s="8" t="n">
        <v>23</v>
      </c>
      <c r="K34" s="8" t="n">
        <v>58</v>
      </c>
      <c r="L34" s="8" t="n">
        <v>58</v>
      </c>
      <c r="M34" s="8" t="n">
        <v>124</v>
      </c>
      <c r="N34" s="8" t="n">
        <v>124</v>
      </c>
      <c r="O34" s="8" t="n">
        <v>244</v>
      </c>
      <c r="R34" s="9">
        <f>F34*$AB34</f>
        <v/>
      </c>
      <c r="S34" s="9">
        <f>G34*$AC34</f>
        <v/>
      </c>
      <c r="T34" s="9">
        <f>H34*$AB34</f>
        <v/>
      </c>
      <c r="U34" s="9">
        <f>I34*$AC34</f>
        <v/>
      </c>
      <c r="V34" s="9">
        <f>J34*$AB34</f>
        <v/>
      </c>
      <c r="W34" s="9">
        <f>K34*$AC34</f>
        <v/>
      </c>
      <c r="X34" s="9">
        <f>L34*$AB34</f>
        <v/>
      </c>
      <c r="Y34" s="9">
        <f>M34*$AC34</f>
        <v/>
      </c>
      <c r="Z34" s="9">
        <f>N34*$AB34</f>
        <v/>
      </c>
      <c r="AA34" s="9">
        <f>O34*$AC34</f>
        <v/>
      </c>
      <c r="AB34" s="5">
        <f>VLOOKUP($E34,Tarifas!$B$4:$F$8,2,0)</f>
        <v/>
      </c>
      <c r="AC34" s="5">
        <f>VLOOKUP($E34,Tarifas!$B$4:$F$8,3,0)</f>
        <v/>
      </c>
    </row>
    <row r="35">
      <c r="A35" t="inlineStr">
        <is>
          <t>WEB-04</t>
        </is>
      </c>
      <c r="B35" t="inlineStr">
        <is>
          <t>Web App 3D (configurador/herramienta)</t>
        </is>
      </c>
      <c r="C35" t="inlineStr">
        <is>
          <t>web-3d</t>
        </is>
      </c>
      <c r="D35" t="inlineStr">
        <is>
          <t>QA/E2E + perf + deploy</t>
        </is>
      </c>
      <c r="E35" t="inlineStr">
        <is>
          <t>RC-WEB</t>
        </is>
      </c>
      <c r="F35" s="8" t="n">
        <v>0</v>
      </c>
      <c r="G35" s="8" t="n">
        <v>0</v>
      </c>
      <c r="H35" s="8" t="n">
        <v>5</v>
      </c>
      <c r="I35" s="8" t="n">
        <v>11</v>
      </c>
      <c r="J35" s="8" t="n">
        <v>11</v>
      </c>
      <c r="K35" s="8" t="n">
        <v>30</v>
      </c>
      <c r="L35" s="8" t="n">
        <v>29</v>
      </c>
      <c r="M35" s="8" t="n">
        <v>64</v>
      </c>
      <c r="N35" s="8" t="n">
        <v>64</v>
      </c>
      <c r="O35" s="8" t="n">
        <v>124</v>
      </c>
      <c r="R35" s="9">
        <f>F35*$AB35</f>
        <v/>
      </c>
      <c r="S35" s="9">
        <f>G35*$AC35</f>
        <v/>
      </c>
      <c r="T35" s="9">
        <f>H35*$AB35</f>
        <v/>
      </c>
      <c r="U35" s="9">
        <f>I35*$AC35</f>
        <v/>
      </c>
      <c r="V35" s="9">
        <f>J35*$AB35</f>
        <v/>
      </c>
      <c r="W35" s="9">
        <f>K35*$AC35</f>
        <v/>
      </c>
      <c r="X35" s="9">
        <f>L35*$AB35</f>
        <v/>
      </c>
      <c r="Y35" s="9">
        <f>M35*$AC35</f>
        <v/>
      </c>
      <c r="Z35" s="9">
        <f>N35*$AB35</f>
        <v/>
      </c>
      <c r="AA35" s="9">
        <f>O35*$AC35</f>
        <v/>
      </c>
      <c r="AB35" s="5">
        <f>VLOOKUP($E35,Tarifas!$B$4:$F$8,2,0)</f>
        <v/>
      </c>
      <c r="AC35" s="5">
        <f>VLOOKUP($E35,Tarifas!$B$4:$F$8,3,0)</f>
        <v/>
      </c>
    </row>
    <row r="36">
      <c r="A36" t="inlineStr">
        <is>
          <t>AI-01</t>
        </is>
      </c>
      <c r="B36" t="inlineStr">
        <is>
          <t>Asistente IA en sitio web (chat RAG)</t>
        </is>
      </c>
      <c r="C36" t="inlineStr">
        <is>
          <t>ia</t>
        </is>
      </c>
      <c r="D36" t="inlineStr">
        <is>
          <t>Discovery/casos de uso</t>
        </is>
      </c>
      <c r="E36" t="inlineStr">
        <is>
          <t>RC-AI</t>
        </is>
      </c>
      <c r="F36" s="8" t="n">
        <v>0</v>
      </c>
      <c r="G36" s="8" t="n">
        <v>0</v>
      </c>
      <c r="H36" s="8" t="n">
        <v>3</v>
      </c>
      <c r="I36" s="8" t="n">
        <v>5</v>
      </c>
      <c r="J36" s="8" t="n">
        <v>5</v>
      </c>
      <c r="K36" s="8" t="n">
        <v>8</v>
      </c>
      <c r="L36" s="8" t="n">
        <v>8</v>
      </c>
      <c r="M36" s="8" t="n">
        <v>14</v>
      </c>
      <c r="N36" s="8" t="n">
        <v>8</v>
      </c>
      <c r="O36" s="8" t="n">
        <v>14</v>
      </c>
      <c r="R36" s="9">
        <f>F36*$AB36</f>
        <v/>
      </c>
      <c r="S36" s="9">
        <f>G36*$AC36</f>
        <v/>
      </c>
      <c r="T36" s="9">
        <f>H36*$AB36</f>
        <v/>
      </c>
      <c r="U36" s="9">
        <f>I36*$AC36</f>
        <v/>
      </c>
      <c r="V36" s="9">
        <f>J36*$AB36</f>
        <v/>
      </c>
      <c r="W36" s="9">
        <f>K36*$AC36</f>
        <v/>
      </c>
      <c r="X36" s="9">
        <f>L36*$AB36</f>
        <v/>
      </c>
      <c r="Y36" s="9">
        <f>M36*$AC36</f>
        <v/>
      </c>
      <c r="Z36" s="9">
        <f>N36*$AB36</f>
        <v/>
      </c>
      <c r="AA36" s="9">
        <f>O36*$AC36</f>
        <v/>
      </c>
      <c r="AB36" s="5">
        <f>VLOOKUP($E36,Tarifas!$B$4:$F$8,2,0)</f>
        <v/>
      </c>
      <c r="AC36" s="5">
        <f>VLOOKUP($E36,Tarifas!$B$4:$F$8,3,0)</f>
        <v/>
      </c>
    </row>
    <row r="37">
      <c r="A37" t="inlineStr">
        <is>
          <t>AI-01</t>
        </is>
      </c>
      <c r="B37" t="inlineStr">
        <is>
          <t>Asistente IA en sitio web (chat RAG)</t>
        </is>
      </c>
      <c r="C37" t="inlineStr">
        <is>
          <t>ia</t>
        </is>
      </c>
      <c r="D37" t="inlineStr">
        <is>
          <t>Pipeline ingesta/RAG</t>
        </is>
      </c>
      <c r="E37" t="inlineStr">
        <is>
          <t>RC-AI</t>
        </is>
      </c>
      <c r="F37" s="8" t="n">
        <v>0</v>
      </c>
      <c r="G37" s="8" t="n">
        <v>0</v>
      </c>
      <c r="H37" s="8" t="n">
        <v>8</v>
      </c>
      <c r="I37" s="8" t="n">
        <v>16</v>
      </c>
      <c r="J37" s="8" t="n">
        <v>16</v>
      </c>
      <c r="K37" s="8" t="n">
        <v>30</v>
      </c>
      <c r="L37" s="8" t="n">
        <v>30</v>
      </c>
      <c r="M37" s="8" t="n">
        <v>60</v>
      </c>
      <c r="N37" s="8" t="n">
        <v>30</v>
      </c>
      <c r="O37" s="8" t="n">
        <v>60</v>
      </c>
      <c r="R37" s="9">
        <f>F37*$AB37</f>
        <v/>
      </c>
      <c r="S37" s="9">
        <f>G37*$AC37</f>
        <v/>
      </c>
      <c r="T37" s="9">
        <f>H37*$AB37</f>
        <v/>
      </c>
      <c r="U37" s="9">
        <f>I37*$AC37</f>
        <v/>
      </c>
      <c r="V37" s="9">
        <f>J37*$AB37</f>
        <v/>
      </c>
      <c r="W37" s="9">
        <f>K37*$AC37</f>
        <v/>
      </c>
      <c r="X37" s="9">
        <f>L37*$AB37</f>
        <v/>
      </c>
      <c r="Y37" s="9">
        <f>M37*$AC37</f>
        <v/>
      </c>
      <c r="Z37" s="9">
        <f>N37*$AB37</f>
        <v/>
      </c>
      <c r="AA37" s="9">
        <f>O37*$AC37</f>
        <v/>
      </c>
      <c r="AB37" s="5">
        <f>VLOOKUP($E37,Tarifas!$B$4:$F$8,2,0)</f>
        <v/>
      </c>
      <c r="AC37" s="5">
        <f>VLOOKUP($E37,Tarifas!$B$4:$F$8,3,0)</f>
        <v/>
      </c>
    </row>
    <row r="38">
      <c r="A38" t="inlineStr">
        <is>
          <t>AI-01</t>
        </is>
      </c>
      <c r="B38" t="inlineStr">
        <is>
          <t>Asistente IA en sitio web (chat RAG)</t>
        </is>
      </c>
      <c r="C38" t="inlineStr">
        <is>
          <t>ia</t>
        </is>
      </c>
      <c r="D38" t="inlineStr">
        <is>
          <t>Prompt engineering + guardrails</t>
        </is>
      </c>
      <c r="E38" t="inlineStr">
        <is>
          <t>RC-AI</t>
        </is>
      </c>
      <c r="F38" s="8" t="n">
        <v>0</v>
      </c>
      <c r="G38" s="8" t="n">
        <v>0</v>
      </c>
      <c r="H38" s="8" t="n">
        <v>4</v>
      </c>
      <c r="I38" s="8" t="n">
        <v>8</v>
      </c>
      <c r="J38" s="8" t="n">
        <v>8</v>
      </c>
      <c r="K38" s="8" t="n">
        <v>14</v>
      </c>
      <c r="L38" s="8" t="n">
        <v>14</v>
      </c>
      <c r="M38" s="8" t="n">
        <v>26</v>
      </c>
      <c r="N38" s="8" t="n">
        <v>14</v>
      </c>
      <c r="O38" s="8" t="n">
        <v>26</v>
      </c>
      <c r="R38" s="9">
        <f>F38*$AB38</f>
        <v/>
      </c>
      <c r="S38" s="9">
        <f>G38*$AC38</f>
        <v/>
      </c>
      <c r="T38" s="9">
        <f>H38*$AB38</f>
        <v/>
      </c>
      <c r="U38" s="9">
        <f>I38*$AC38</f>
        <v/>
      </c>
      <c r="V38" s="9">
        <f>J38*$AB38</f>
        <v/>
      </c>
      <c r="W38" s="9">
        <f>K38*$AC38</f>
        <v/>
      </c>
      <c r="X38" s="9">
        <f>L38*$AB38</f>
        <v/>
      </c>
      <c r="Y38" s="9">
        <f>M38*$AC38</f>
        <v/>
      </c>
      <c r="Z38" s="9">
        <f>N38*$AB38</f>
        <v/>
      </c>
      <c r="AA38" s="9">
        <f>O38*$AC38</f>
        <v/>
      </c>
      <c r="AB38" s="5">
        <f>VLOOKUP($E38,Tarifas!$B$4:$F$8,2,0)</f>
        <v/>
      </c>
      <c r="AC38" s="5">
        <f>VLOOKUP($E38,Tarifas!$B$4:$F$8,3,0)</f>
        <v/>
      </c>
    </row>
    <row r="39">
      <c r="A39" t="inlineStr">
        <is>
          <t>AI-01</t>
        </is>
      </c>
      <c r="B39" t="inlineStr">
        <is>
          <t>Asistente IA en sitio web (chat RAG)</t>
        </is>
      </c>
      <c r="C39" t="inlineStr">
        <is>
          <t>ia</t>
        </is>
      </c>
      <c r="D39" t="inlineStr">
        <is>
          <t>Widget UI + integracion</t>
        </is>
      </c>
      <c r="E39" t="inlineStr">
        <is>
          <t>RC-WEB</t>
        </is>
      </c>
      <c r="F39" s="8" t="n">
        <v>0</v>
      </c>
      <c r="G39" s="8" t="n">
        <v>0</v>
      </c>
      <c r="H39" s="8" t="n">
        <v>6</v>
      </c>
      <c r="I39" s="8" t="n">
        <v>12</v>
      </c>
      <c r="J39" s="8" t="n">
        <v>12</v>
      </c>
      <c r="K39" s="8" t="n">
        <v>24</v>
      </c>
      <c r="L39" s="8" t="n">
        <v>24</v>
      </c>
      <c r="M39" s="8" t="n">
        <v>44</v>
      </c>
      <c r="N39" s="8" t="n">
        <v>24</v>
      </c>
      <c r="O39" s="8" t="n">
        <v>44</v>
      </c>
      <c r="R39" s="9">
        <f>F39*$AB39</f>
        <v/>
      </c>
      <c r="S39" s="9">
        <f>G39*$AC39</f>
        <v/>
      </c>
      <c r="T39" s="9">
        <f>H39*$AB39</f>
        <v/>
      </c>
      <c r="U39" s="9">
        <f>I39*$AC39</f>
        <v/>
      </c>
      <c r="V39" s="9">
        <f>J39*$AB39</f>
        <v/>
      </c>
      <c r="W39" s="9">
        <f>K39*$AC39</f>
        <v/>
      </c>
      <c r="X39" s="9">
        <f>L39*$AB39</f>
        <v/>
      </c>
      <c r="Y39" s="9">
        <f>M39*$AC39</f>
        <v/>
      </c>
      <c r="Z39" s="9">
        <f>N39*$AB39</f>
        <v/>
      </c>
      <c r="AA39" s="9">
        <f>O39*$AC39</f>
        <v/>
      </c>
      <c r="AB39" s="5">
        <f>VLOOKUP($E39,Tarifas!$B$4:$F$8,2,0)</f>
        <v/>
      </c>
      <c r="AC39" s="5">
        <f>VLOOKUP($E39,Tarifas!$B$4:$F$8,3,0)</f>
        <v/>
      </c>
    </row>
    <row r="40">
      <c r="A40" t="inlineStr">
        <is>
          <t>AI-01</t>
        </is>
      </c>
      <c r="B40" t="inlineStr">
        <is>
          <t>Asistente IA en sitio web (chat RAG)</t>
        </is>
      </c>
      <c r="C40" t="inlineStr">
        <is>
          <t>ia</t>
        </is>
      </c>
      <c r="D40" t="inlineStr">
        <is>
          <t>Evaluacion + casos de prueba</t>
        </is>
      </c>
      <c r="E40" t="inlineStr">
        <is>
          <t>RC-AI</t>
        </is>
      </c>
      <c r="F40" s="8" t="n">
        <v>0</v>
      </c>
      <c r="G40" s="8" t="n">
        <v>0</v>
      </c>
      <c r="H40" s="8" t="n">
        <v>4</v>
      </c>
      <c r="I40" s="8" t="n">
        <v>7</v>
      </c>
      <c r="J40" s="8" t="n">
        <v>7</v>
      </c>
      <c r="K40" s="8" t="n">
        <v>12</v>
      </c>
      <c r="L40" s="8" t="n">
        <v>12</v>
      </c>
      <c r="M40" s="8" t="n">
        <v>22</v>
      </c>
      <c r="N40" s="8" t="n">
        <v>12</v>
      </c>
      <c r="O40" s="8" t="n">
        <v>22</v>
      </c>
      <c r="R40" s="9">
        <f>F40*$AB40</f>
        <v/>
      </c>
      <c r="S40" s="9">
        <f>G40*$AC40</f>
        <v/>
      </c>
      <c r="T40" s="9">
        <f>H40*$AB40</f>
        <v/>
      </c>
      <c r="U40" s="9">
        <f>I40*$AC40</f>
        <v/>
      </c>
      <c r="V40" s="9">
        <f>J40*$AB40</f>
        <v/>
      </c>
      <c r="W40" s="9">
        <f>K40*$AC40</f>
        <v/>
      </c>
      <c r="X40" s="9">
        <f>L40*$AB40</f>
        <v/>
      </c>
      <c r="Y40" s="9">
        <f>M40*$AC40</f>
        <v/>
      </c>
      <c r="Z40" s="9">
        <f>N40*$AB40</f>
        <v/>
      </c>
      <c r="AA40" s="9">
        <f>O40*$AC40</f>
        <v/>
      </c>
      <c r="AB40" s="5">
        <f>VLOOKUP($E40,Tarifas!$B$4:$F$8,2,0)</f>
        <v/>
      </c>
      <c r="AC40" s="5">
        <f>VLOOKUP($E40,Tarifas!$B$4:$F$8,3,0)</f>
        <v/>
      </c>
    </row>
    <row r="41">
      <c r="A41" t="inlineStr">
        <is>
          <t>CON-01</t>
        </is>
      </c>
      <c r="B41" t="inlineStr">
        <is>
          <t>Consultoria tecnica 3D / web</t>
        </is>
      </c>
      <c r="C41" t="inlineStr">
        <is>
          <t>soporte</t>
        </is>
      </c>
      <c r="D41" t="inlineStr">
        <is>
          <t>Intake/analisis/SOW</t>
        </is>
      </c>
      <c r="E41" t="inlineStr">
        <is>
          <t>RC-CON</t>
        </is>
      </c>
      <c r="F41" s="8" t="n">
        <v>2</v>
      </c>
      <c r="G41" s="8" t="n">
        <v>4.5</v>
      </c>
      <c r="H41" s="8" t="n">
        <v>2.5</v>
      </c>
      <c r="I41" s="8" t="n">
        <v>6</v>
      </c>
      <c r="J41" s="8" t="n">
        <v>6</v>
      </c>
      <c r="K41" s="8" t="n">
        <v>12</v>
      </c>
      <c r="L41" s="8" t="n">
        <v>12</v>
      </c>
      <c r="M41" s="8" t="n">
        <v>24</v>
      </c>
      <c r="N41" s="8" t="n">
        <v>12</v>
      </c>
      <c r="O41" s="8" t="n">
        <v>24</v>
      </c>
      <c r="R41" s="9">
        <f>F41*$AB41</f>
        <v/>
      </c>
      <c r="S41" s="9">
        <f>G41*$AC41</f>
        <v/>
      </c>
      <c r="T41" s="9">
        <f>H41*$AB41</f>
        <v/>
      </c>
      <c r="U41" s="9">
        <f>I41*$AC41</f>
        <v/>
      </c>
      <c r="V41" s="9">
        <f>J41*$AB41</f>
        <v/>
      </c>
      <c r="W41" s="9">
        <f>K41*$AC41</f>
        <v/>
      </c>
      <c r="X41" s="9">
        <f>L41*$AB41</f>
        <v/>
      </c>
      <c r="Y41" s="9">
        <f>M41*$AC41</f>
        <v/>
      </c>
      <c r="Z41" s="9">
        <f>N41*$AB41</f>
        <v/>
      </c>
      <c r="AA41" s="9">
        <f>O41*$AC41</f>
        <v/>
      </c>
      <c r="AB41" s="5">
        <f>VLOOKUP($E41,Tarifas!$B$4:$F$8,2,0)</f>
        <v/>
      </c>
      <c r="AC41" s="5">
        <f>VLOOKUP($E41,Tarifas!$B$4:$F$8,3,0)</f>
        <v/>
      </c>
    </row>
    <row r="42">
      <c r="A42" t="inlineStr">
        <is>
          <t>CON-01</t>
        </is>
      </c>
      <c r="B42" t="inlineStr">
        <is>
          <t>Consultoria tecnica 3D / web</t>
        </is>
      </c>
      <c r="C42" t="inlineStr">
        <is>
          <t>soporte</t>
        </is>
      </c>
      <c r="D42" t="inlineStr">
        <is>
          <t>Presentacion y revision</t>
        </is>
      </c>
      <c r="E42" t="inlineStr">
        <is>
          <t>RC-CON</t>
        </is>
      </c>
      <c r="F42" s="8" t="n">
        <v>0.5</v>
      </c>
      <c r="G42" s="8" t="n">
        <v>1.5</v>
      </c>
      <c r="H42" s="8" t="n">
        <v>1</v>
      </c>
      <c r="I42" s="8" t="n">
        <v>2</v>
      </c>
      <c r="J42" s="8" t="n">
        <v>2</v>
      </c>
      <c r="K42" s="8" t="n">
        <v>4</v>
      </c>
      <c r="L42" s="8" t="n">
        <v>4</v>
      </c>
      <c r="M42" s="8" t="n">
        <v>8</v>
      </c>
      <c r="N42" s="8" t="n">
        <v>4</v>
      </c>
      <c r="O42" s="8" t="n">
        <v>8</v>
      </c>
      <c r="R42" s="9">
        <f>F42*$AB42</f>
        <v/>
      </c>
      <c r="S42" s="9">
        <f>G42*$AC42</f>
        <v/>
      </c>
      <c r="T42" s="9">
        <f>H42*$AB42</f>
        <v/>
      </c>
      <c r="U42" s="9">
        <f>I42*$AC42</f>
        <v/>
      </c>
      <c r="V42" s="9">
        <f>J42*$AB42</f>
        <v/>
      </c>
      <c r="W42" s="9">
        <f>K42*$AC42</f>
        <v/>
      </c>
      <c r="X42" s="9">
        <f>L42*$AB42</f>
        <v/>
      </c>
      <c r="Y42" s="9">
        <f>M42*$AC42</f>
        <v/>
      </c>
      <c r="Z42" s="9">
        <f>N42*$AB42</f>
        <v/>
      </c>
      <c r="AA42" s="9">
        <f>O42*$AC42</f>
        <v/>
      </c>
      <c r="AB42" s="5">
        <f>VLOOKUP($E42,Tarifas!$B$4:$F$8,2,0)</f>
        <v/>
      </c>
      <c r="AC42" s="5">
        <f>VLOOKUP($E42,Tarifas!$B$4:$F$8,3,0)</f>
        <v/>
      </c>
    </row>
    <row r="43">
      <c r="A43" t="inlineStr">
        <is>
          <t>RET-01</t>
        </is>
      </c>
      <c r="B43" t="inlineStr">
        <is>
          <t>Retainer mensual</t>
        </is>
      </c>
      <c r="C43" t="inlineStr">
        <is>
          <t>soporte</t>
        </is>
      </c>
      <c r="D43" t="inlineStr">
        <is>
          <t>Lite: 4h/mes</t>
        </is>
      </c>
      <c r="E43" t="inlineStr">
        <is>
          <t>RC-RTA</t>
        </is>
      </c>
      <c r="F43" s="8" t="n">
        <v>4</v>
      </c>
      <c r="G43" s="8" t="n">
        <v>4</v>
      </c>
      <c r="H43" s="8" t="n">
        <v>4</v>
      </c>
      <c r="I43" s="8" t="n">
        <v>4</v>
      </c>
      <c r="J43" s="8" t="n">
        <v>4</v>
      </c>
      <c r="K43" s="8" t="n">
        <v>4</v>
      </c>
      <c r="L43" s="8" t="n">
        <v>4</v>
      </c>
      <c r="M43" s="8" t="n">
        <v>4</v>
      </c>
      <c r="N43" s="8" t="n">
        <v>4</v>
      </c>
      <c r="O43" s="8" t="n">
        <v>4</v>
      </c>
      <c r="R43" s="9">
        <f>F43*$AB43</f>
        <v/>
      </c>
      <c r="S43" s="9">
        <f>G43*$AC43</f>
        <v/>
      </c>
      <c r="T43" s="9">
        <f>H43*$AB43</f>
        <v/>
      </c>
      <c r="U43" s="9">
        <f>I43*$AC43</f>
        <v/>
      </c>
      <c r="V43" s="9">
        <f>J43*$AB43</f>
        <v/>
      </c>
      <c r="W43" s="9">
        <f>K43*$AC43</f>
        <v/>
      </c>
      <c r="X43" s="9">
        <f>L43*$AB43</f>
        <v/>
      </c>
      <c r="Y43" s="9">
        <f>M43*$AC43</f>
        <v/>
      </c>
      <c r="Z43" s="9">
        <f>N43*$AB43</f>
        <v/>
      </c>
      <c r="AA43" s="9">
        <f>O43*$AC43</f>
        <v/>
      </c>
      <c r="AB43" s="5">
        <f>VLOOKUP($E43,Tarifas!$B$4:$F$8,2,0)</f>
        <v/>
      </c>
      <c r="AC43" s="5">
        <f>VLOOKUP($E43,Tarifas!$B$4:$F$8,3,0)</f>
        <v/>
      </c>
    </row>
    <row r="44">
      <c r="A44" t="inlineStr">
        <is>
          <t>RET-01</t>
        </is>
      </c>
      <c r="B44" t="inlineStr">
        <is>
          <t>Retainer mensual</t>
        </is>
      </c>
      <c r="C44" t="inlineStr">
        <is>
          <t>soporte</t>
        </is>
      </c>
      <c r="D44" t="inlineStr">
        <is>
          <t>Standard: 8h/mes</t>
        </is>
      </c>
      <c r="E44" t="inlineStr">
        <is>
          <t>RC-RTA</t>
        </is>
      </c>
      <c r="F44" s="8" t="n">
        <v>8</v>
      </c>
      <c r="G44" s="8" t="n">
        <v>8</v>
      </c>
      <c r="H44" s="8" t="n">
        <v>8</v>
      </c>
      <c r="I44" s="8" t="n">
        <v>8</v>
      </c>
      <c r="J44" s="8" t="n">
        <v>8</v>
      </c>
      <c r="K44" s="8" t="n">
        <v>8</v>
      </c>
      <c r="L44" s="8" t="n">
        <v>8</v>
      </c>
      <c r="M44" s="8" t="n">
        <v>8</v>
      </c>
      <c r="N44" s="8" t="n">
        <v>8</v>
      </c>
      <c r="O44" s="8" t="n">
        <v>8</v>
      </c>
      <c r="R44" s="9">
        <f>F44*$AB44</f>
        <v/>
      </c>
      <c r="S44" s="9">
        <f>G44*$AC44</f>
        <v/>
      </c>
      <c r="T44" s="9">
        <f>H44*$AB44</f>
        <v/>
      </c>
      <c r="U44" s="9">
        <f>I44*$AC44</f>
        <v/>
      </c>
      <c r="V44" s="9">
        <f>J44*$AB44</f>
        <v/>
      </c>
      <c r="W44" s="9">
        <f>K44*$AC44</f>
        <v/>
      </c>
      <c r="X44" s="9">
        <f>L44*$AB44</f>
        <v/>
      </c>
      <c r="Y44" s="9">
        <f>M44*$AC44</f>
        <v/>
      </c>
      <c r="Z44" s="9">
        <f>N44*$AB44</f>
        <v/>
      </c>
      <c r="AA44" s="9">
        <f>O44*$AC44</f>
        <v/>
      </c>
      <c r="AB44" s="5">
        <f>VLOOKUP($E44,Tarifas!$B$4:$F$8,2,0)</f>
        <v/>
      </c>
      <c r="AC44" s="5">
        <f>VLOOKUP($E44,Tarifas!$B$4:$F$8,3,0)</f>
        <v/>
      </c>
    </row>
    <row r="45">
      <c r="A45" t="inlineStr">
        <is>
          <t>RET-01</t>
        </is>
      </c>
      <c r="B45" t="inlineStr">
        <is>
          <t>Retainer mensual</t>
        </is>
      </c>
      <c r="C45" t="inlineStr">
        <is>
          <t>soporte</t>
        </is>
      </c>
      <c r="D45" t="inlineStr">
        <is>
          <t>Pro: 16h/mes</t>
        </is>
      </c>
      <c r="E45" t="inlineStr">
        <is>
          <t>RC-RTA</t>
        </is>
      </c>
      <c r="F45" s="8" t="n">
        <v>16</v>
      </c>
      <c r="G45" s="8" t="n">
        <v>16</v>
      </c>
      <c r="H45" s="8" t="n">
        <v>16</v>
      </c>
      <c r="I45" s="8" t="n">
        <v>16</v>
      </c>
      <c r="J45" s="8" t="n">
        <v>16</v>
      </c>
      <c r="K45" s="8" t="n">
        <v>16</v>
      </c>
      <c r="L45" s="8" t="n">
        <v>16</v>
      </c>
      <c r="M45" s="8" t="n">
        <v>16</v>
      </c>
      <c r="N45" s="8" t="n">
        <v>16</v>
      </c>
      <c r="O45" s="8" t="n">
        <v>16</v>
      </c>
      <c r="R45" s="9">
        <f>F45*$AB45</f>
        <v/>
      </c>
      <c r="S45" s="9">
        <f>G45*$AC45</f>
        <v/>
      </c>
      <c r="T45" s="9">
        <f>H45*$AB45</f>
        <v/>
      </c>
      <c r="U45" s="9">
        <f>I45*$AC45</f>
        <v/>
      </c>
      <c r="V45" s="9">
        <f>J45*$AB45</f>
        <v/>
      </c>
      <c r="W45" s="9">
        <f>K45*$AC45</f>
        <v/>
      </c>
      <c r="X45" s="9">
        <f>L45*$AB45</f>
        <v/>
      </c>
      <c r="Y45" s="9">
        <f>M45*$AC45</f>
        <v/>
      </c>
      <c r="Z45" s="9">
        <f>N45*$AB45</f>
        <v/>
      </c>
      <c r="AA45" s="9">
        <f>O45*$AC45</f>
        <v/>
      </c>
      <c r="AB45" s="5">
        <f>VLOOKUP($E45,Tarifas!$B$4:$F$8,2,0)</f>
        <v/>
      </c>
      <c r="AC45" s="5">
        <f>VLOOKUP($E45,Tarifas!$B$4:$F$8,3,0)</f>
        <v/>
      </c>
    </row>
    <row r="46">
      <c r="A46" t="inlineStr">
        <is>
          <t>RET-01</t>
        </is>
      </c>
      <c r="B46" t="inlineStr">
        <is>
          <t>Retainer mensual</t>
        </is>
      </c>
      <c r="C46" t="inlineStr">
        <is>
          <t>soporte</t>
        </is>
      </c>
      <c r="D46" t="inlineStr">
        <is>
          <t>Business: 40h/mes</t>
        </is>
      </c>
      <c r="E46" t="inlineStr">
        <is>
          <t>RC-CON</t>
        </is>
      </c>
      <c r="F46" s="8" t="n">
        <v>40</v>
      </c>
      <c r="G46" s="8" t="n">
        <v>40</v>
      </c>
      <c r="H46" s="8" t="n">
        <v>40</v>
      </c>
      <c r="I46" s="8" t="n">
        <v>40</v>
      </c>
      <c r="J46" s="8" t="n">
        <v>40</v>
      </c>
      <c r="K46" s="8" t="n">
        <v>40</v>
      </c>
      <c r="L46" s="8" t="n">
        <v>40</v>
      </c>
      <c r="M46" s="8" t="n">
        <v>40</v>
      </c>
      <c r="N46" s="8" t="n">
        <v>40</v>
      </c>
      <c r="O46" s="8" t="n">
        <v>40</v>
      </c>
      <c r="R46" s="9">
        <f>F46*$AB46</f>
        <v/>
      </c>
      <c r="S46" s="9">
        <f>G46*$AC46</f>
        <v/>
      </c>
      <c r="T46" s="9">
        <f>H46*$AB46</f>
        <v/>
      </c>
      <c r="U46" s="9">
        <f>I46*$AC46</f>
        <v/>
      </c>
      <c r="V46" s="9">
        <f>J46*$AB46</f>
        <v/>
      </c>
      <c r="W46" s="9">
        <f>K46*$AC46</f>
        <v/>
      </c>
      <c r="X46" s="9">
        <f>L46*$AB46</f>
        <v/>
      </c>
      <c r="Y46" s="9">
        <f>M46*$AC46</f>
        <v/>
      </c>
      <c r="Z46" s="9">
        <f>N46*$AB46</f>
        <v/>
      </c>
      <c r="AA46" s="9">
        <f>O46*$AC46</f>
        <v/>
      </c>
      <c r="AB46" s="5">
        <f>VLOOKUP($E46,Tarifas!$B$4:$F$8,2,0)</f>
        <v/>
      </c>
      <c r="AC46" s="5">
        <f>VLOOKUP($E46,Tarifas!$B$4:$F$8,3,0)</f>
        <v/>
      </c>
    </row>
    <row r="47">
      <c r="A47" t="inlineStr">
        <is>
          <t>RTA-03</t>
        </is>
      </c>
      <c r="B47" t="inlineStr">
        <is>
          <t>Modelo animado no interactuable</t>
        </is>
      </c>
      <c r="C47" t="inlineStr">
        <is>
          <t>asset-rt</t>
        </is>
      </c>
      <c r="D47" t="inlineStr">
        <is>
          <t>Pipeline base RTA-01</t>
        </is>
      </c>
      <c r="E47" t="inlineStr">
        <is>
          <t>RC-RTA</t>
        </is>
      </c>
      <c r="F47" s="8" t="n">
        <v>0</v>
      </c>
      <c r="G47" s="8" t="n">
        <v>0</v>
      </c>
      <c r="H47" s="8" t="n">
        <v>6</v>
      </c>
      <c r="I47" s="8" t="n">
        <v>13</v>
      </c>
      <c r="J47" s="8" t="n">
        <v>14</v>
      </c>
      <c r="K47" s="8" t="n">
        <v>30</v>
      </c>
      <c r="L47" s="8" t="n">
        <v>30</v>
      </c>
      <c r="M47" s="8" t="n">
        <v>66</v>
      </c>
      <c r="N47" s="8" t="n">
        <v>45</v>
      </c>
      <c r="O47" s="8" t="n">
        <v>99</v>
      </c>
      <c r="R47" s="9">
        <f>F47*$AB47</f>
        <v/>
      </c>
      <c r="S47" s="9">
        <f>G47*$AC47</f>
        <v/>
      </c>
      <c r="T47" s="9">
        <f>H47*$AB47</f>
        <v/>
      </c>
      <c r="U47" s="9">
        <f>I47*$AC47</f>
        <v/>
      </c>
      <c r="V47" s="9">
        <f>J47*$AB47</f>
        <v/>
      </c>
      <c r="W47" s="9">
        <f>K47*$AC47</f>
        <v/>
      </c>
      <c r="X47" s="9">
        <f>L47*$AB47</f>
        <v/>
      </c>
      <c r="Y47" s="9">
        <f>M47*$AC47</f>
        <v/>
      </c>
      <c r="Z47" s="9">
        <f>N47*$AB47</f>
        <v/>
      </c>
      <c r="AA47" s="9">
        <f>O47*$AC47</f>
        <v/>
      </c>
      <c r="AB47" s="5">
        <f>VLOOKUP($E47,Tarifas!$B$4:$F$8,2,0)</f>
        <v/>
      </c>
      <c r="AC47" s="5">
        <f>VLOOKUP($E47,Tarifas!$B$4:$F$8,3,0)</f>
        <v/>
      </c>
    </row>
    <row r="48">
      <c r="A48" t="inlineStr">
        <is>
          <t>RTA-03</t>
        </is>
      </c>
      <c r="B48" t="inlineStr">
        <is>
          <t>Modelo animado no interactuable</t>
        </is>
      </c>
      <c r="C48" t="inlineStr">
        <is>
          <t>asset-rt</t>
        </is>
      </c>
      <c r="D48" t="inlineStr">
        <is>
          <t>Setup animacion mecanica (pivots/jerarquia)</t>
        </is>
      </c>
      <c r="E48" t="inlineStr">
        <is>
          <t>RC-RTA</t>
        </is>
      </c>
      <c r="F48" s="8" t="n">
        <v>0</v>
      </c>
      <c r="G48" s="8" t="n">
        <v>0</v>
      </c>
      <c r="H48" s="8" t="n">
        <v>1</v>
      </c>
      <c r="I48" s="8" t="n">
        <v>3</v>
      </c>
      <c r="J48" s="8" t="n">
        <v>2</v>
      </c>
      <c r="K48" s="8" t="n">
        <v>5</v>
      </c>
      <c r="L48" s="8" t="n">
        <v>3</v>
      </c>
      <c r="M48" s="8" t="n">
        <v>7</v>
      </c>
      <c r="N48" s="8" t="n">
        <v>4</v>
      </c>
      <c r="O48" s="8" t="n">
        <v>9</v>
      </c>
      <c r="R48" s="9">
        <f>F48*$AB48</f>
        <v/>
      </c>
      <c r="S48" s="9">
        <f>G48*$AC48</f>
        <v/>
      </c>
      <c r="T48" s="9">
        <f>H48*$AB48</f>
        <v/>
      </c>
      <c r="U48" s="9">
        <f>I48*$AC48</f>
        <v/>
      </c>
      <c r="V48" s="9">
        <f>J48*$AB48</f>
        <v/>
      </c>
      <c r="W48" s="9">
        <f>K48*$AC48</f>
        <v/>
      </c>
      <c r="X48" s="9">
        <f>L48*$AB48</f>
        <v/>
      </c>
      <c r="Y48" s="9">
        <f>M48*$AC48</f>
        <v/>
      </c>
      <c r="Z48" s="9">
        <f>N48*$AB48</f>
        <v/>
      </c>
      <c r="AA48" s="9">
        <f>O48*$AC48</f>
        <v/>
      </c>
      <c r="AB48" s="5">
        <f>VLOOKUP($E48,Tarifas!$B$4:$F$8,2,0)</f>
        <v/>
      </c>
      <c r="AC48" s="5">
        <f>VLOOKUP($E48,Tarifas!$B$4:$F$8,3,0)</f>
        <v/>
      </c>
    </row>
    <row r="49">
      <c r="A49" t="inlineStr">
        <is>
          <t>RTA-03</t>
        </is>
      </c>
      <c r="B49" t="inlineStr">
        <is>
          <t>Modelo animado no interactuable</t>
        </is>
      </c>
      <c r="C49" t="inlineStr">
        <is>
          <t>asset-rt</t>
        </is>
      </c>
      <c r="D49" t="inlineStr">
        <is>
          <t>Clips de animacion (loop -&gt; secuencias)</t>
        </is>
      </c>
      <c r="E49" t="inlineStr">
        <is>
          <t>RC-RTA</t>
        </is>
      </c>
      <c r="F49" s="8" t="n">
        <v>0</v>
      </c>
      <c r="G49" s="8" t="n">
        <v>0</v>
      </c>
      <c r="H49" s="8" t="n">
        <v>1</v>
      </c>
      <c r="I49" s="8" t="n">
        <v>5</v>
      </c>
      <c r="J49" s="8" t="n">
        <v>2</v>
      </c>
      <c r="K49" s="8" t="n">
        <v>7</v>
      </c>
      <c r="L49" s="8" t="n">
        <v>5</v>
      </c>
      <c r="M49" s="8" t="n">
        <v>13</v>
      </c>
      <c r="N49" s="8" t="n">
        <v>6</v>
      </c>
      <c r="O49" s="8" t="n">
        <v>16</v>
      </c>
      <c r="R49" s="9">
        <f>F49*$AB49</f>
        <v/>
      </c>
      <c r="S49" s="9">
        <f>G49*$AC49</f>
        <v/>
      </c>
      <c r="T49" s="9">
        <f>H49*$AB49</f>
        <v/>
      </c>
      <c r="U49" s="9">
        <f>I49*$AC49</f>
        <v/>
      </c>
      <c r="V49" s="9">
        <f>J49*$AB49</f>
        <v/>
      </c>
      <c r="W49" s="9">
        <f>K49*$AC49</f>
        <v/>
      </c>
      <c r="X49" s="9">
        <f>L49*$AB49</f>
        <v/>
      </c>
      <c r="Y49" s="9">
        <f>M49*$AC49</f>
        <v/>
      </c>
      <c r="Z49" s="9">
        <f>N49*$AB49</f>
        <v/>
      </c>
      <c r="AA49" s="9">
        <f>O49*$AC49</f>
        <v/>
      </c>
      <c r="AB49" s="5">
        <f>VLOOKUP($E49,Tarifas!$B$4:$F$8,2,0)</f>
        <v/>
      </c>
      <c r="AC49" s="5">
        <f>VLOOKUP($E49,Tarifas!$B$4:$F$8,3,0)</f>
        <v/>
      </c>
    </row>
    <row r="50">
      <c r="A50" t="inlineStr">
        <is>
          <t>RTA-03</t>
        </is>
      </c>
      <c r="B50" t="inlineStr">
        <is>
          <t>Modelo animado no interactuable</t>
        </is>
      </c>
      <c r="C50" t="inlineStr">
        <is>
          <t>asset-rt</t>
        </is>
      </c>
      <c r="D50" t="inlineStr">
        <is>
          <t>Timeline autoplay + optimizacion clips</t>
        </is>
      </c>
      <c r="E50" t="inlineStr">
        <is>
          <t>RC-RTA</t>
        </is>
      </c>
      <c r="F50" s="8" t="n">
        <v>0</v>
      </c>
      <c r="G50" s="8" t="n">
        <v>0</v>
      </c>
      <c r="H50" s="8" t="n">
        <v>1</v>
      </c>
      <c r="I50" s="8" t="n">
        <v>2</v>
      </c>
      <c r="J50" s="8" t="n">
        <v>1</v>
      </c>
      <c r="K50" s="8" t="n">
        <v>2</v>
      </c>
      <c r="L50" s="8" t="n">
        <v>1</v>
      </c>
      <c r="M50" s="8" t="n">
        <v>2</v>
      </c>
      <c r="N50" s="8" t="n">
        <v>1</v>
      </c>
      <c r="O50" s="8" t="n">
        <v>2</v>
      </c>
      <c r="R50" s="9">
        <f>F50*$AB50</f>
        <v/>
      </c>
      <c r="S50" s="9">
        <f>G50*$AC50</f>
        <v/>
      </c>
      <c r="T50" s="9">
        <f>H50*$AB50</f>
        <v/>
      </c>
      <c r="U50" s="9">
        <f>I50*$AC50</f>
        <v/>
      </c>
      <c r="V50" s="9">
        <f>J50*$AB50</f>
        <v/>
      </c>
      <c r="W50" s="9">
        <f>K50*$AC50</f>
        <v/>
      </c>
      <c r="X50" s="9">
        <f>L50*$AB50</f>
        <v/>
      </c>
      <c r="Y50" s="9">
        <f>M50*$AC50</f>
        <v/>
      </c>
      <c r="Z50" s="9">
        <f>N50*$AB50</f>
        <v/>
      </c>
      <c r="AA50" s="9">
        <f>O50*$AC50</f>
        <v/>
      </c>
      <c r="AB50" s="5">
        <f>VLOOKUP($E50,Tarifas!$B$4:$F$8,2,0)</f>
        <v/>
      </c>
      <c r="AC50" s="5">
        <f>VLOOKUP($E50,Tarifas!$B$4:$F$8,3,0)</f>
        <v/>
      </c>
    </row>
    <row r="51">
      <c r="A51" t="inlineStr">
        <is>
          <t>RTA-04</t>
        </is>
      </c>
      <c r="B51" t="inlineStr">
        <is>
          <t>Modelo animado interactuable</t>
        </is>
      </c>
      <c r="C51" t="inlineStr">
        <is>
          <t>asset-rt</t>
        </is>
      </c>
      <c r="D51" t="inlineStr">
        <is>
          <t>Pipeline base RTA-03</t>
        </is>
      </c>
      <c r="E51" t="inlineStr">
        <is>
          <t>RC-RTA</t>
        </is>
      </c>
      <c r="F51" s="8" t="n">
        <v>0</v>
      </c>
      <c r="G51" s="8" t="n">
        <v>0</v>
      </c>
      <c r="H51" s="8" t="n">
        <v>8</v>
      </c>
      <c r="I51" s="8" t="n">
        <v>23</v>
      </c>
      <c r="J51" s="8" t="n">
        <v>17</v>
      </c>
      <c r="K51" s="8" t="n">
        <v>44</v>
      </c>
      <c r="L51" s="8" t="n">
        <v>39</v>
      </c>
      <c r="M51" s="8" t="n">
        <v>88</v>
      </c>
      <c r="N51" s="8" t="n">
        <v>55</v>
      </c>
      <c r="O51" s="8" t="n">
        <v>123</v>
      </c>
      <c r="R51" s="9">
        <f>F51*$AB51</f>
        <v/>
      </c>
      <c r="S51" s="9">
        <f>G51*$AC51</f>
        <v/>
      </c>
      <c r="T51" s="9">
        <f>H51*$AB51</f>
        <v/>
      </c>
      <c r="U51" s="9">
        <f>I51*$AC51</f>
        <v/>
      </c>
      <c r="V51" s="9">
        <f>J51*$AB51</f>
        <v/>
      </c>
      <c r="W51" s="9">
        <f>K51*$AC51</f>
        <v/>
      </c>
      <c r="X51" s="9">
        <f>L51*$AB51</f>
        <v/>
      </c>
      <c r="Y51" s="9">
        <f>M51*$AC51</f>
        <v/>
      </c>
      <c r="Z51" s="9">
        <f>N51*$AB51</f>
        <v/>
      </c>
      <c r="AA51" s="9">
        <f>O51*$AC51</f>
        <v/>
      </c>
      <c r="AB51" s="5">
        <f>VLOOKUP($E51,Tarifas!$B$4:$F$8,2,0)</f>
        <v/>
      </c>
      <c r="AC51" s="5">
        <f>VLOOKUP($E51,Tarifas!$B$4:$F$8,3,0)</f>
        <v/>
      </c>
    </row>
    <row r="52">
      <c r="A52" t="inlineStr">
        <is>
          <t>RTA-04</t>
        </is>
      </c>
      <c r="B52" t="inlineStr">
        <is>
          <t>Modelo animado interactuable</t>
        </is>
      </c>
      <c r="C52" t="inlineStr">
        <is>
          <t>asset-rt</t>
        </is>
      </c>
      <c r="D52" t="inlineStr">
        <is>
          <t>UI de controles (play/pausa/velocidad)</t>
        </is>
      </c>
      <c r="E52" t="inlineStr">
        <is>
          <t>RC-WEB</t>
        </is>
      </c>
      <c r="F52" s="8" t="n">
        <v>0</v>
      </c>
      <c r="G52" s="8" t="n">
        <v>0</v>
      </c>
      <c r="H52" s="8" t="n">
        <v>2</v>
      </c>
      <c r="I52" s="8" t="n">
        <v>4</v>
      </c>
      <c r="J52" s="8" t="n">
        <v>2</v>
      </c>
      <c r="K52" s="8" t="n">
        <v>5</v>
      </c>
      <c r="L52" s="8" t="n">
        <v>3</v>
      </c>
      <c r="M52" s="8" t="n">
        <v>6</v>
      </c>
      <c r="N52" s="8" t="n">
        <v>4</v>
      </c>
      <c r="O52" s="8" t="n">
        <v>8</v>
      </c>
      <c r="R52" s="9">
        <f>F52*$AB52</f>
        <v/>
      </c>
      <c r="S52" s="9">
        <f>G52*$AC52</f>
        <v/>
      </c>
      <c r="T52" s="9">
        <f>H52*$AB52</f>
        <v/>
      </c>
      <c r="U52" s="9">
        <f>I52*$AC52</f>
        <v/>
      </c>
      <c r="V52" s="9">
        <f>J52*$AB52</f>
        <v/>
      </c>
      <c r="W52" s="9">
        <f>K52*$AC52</f>
        <v/>
      </c>
      <c r="X52" s="9">
        <f>L52*$AB52</f>
        <v/>
      </c>
      <c r="Y52" s="9">
        <f>M52*$AC52</f>
        <v/>
      </c>
      <c r="Z52" s="9">
        <f>N52*$AB52</f>
        <v/>
      </c>
      <c r="AA52" s="9">
        <f>O52*$AC52</f>
        <v/>
      </c>
      <c r="AB52" s="5">
        <f>VLOOKUP($E52,Tarifas!$B$4:$F$8,2,0)</f>
        <v/>
      </c>
      <c r="AC52" s="5">
        <f>VLOOKUP($E52,Tarifas!$B$4:$F$8,3,0)</f>
        <v/>
      </c>
    </row>
    <row r="53">
      <c r="A53" t="inlineStr">
        <is>
          <t>RTA-04</t>
        </is>
      </c>
      <c r="B53" t="inlineStr">
        <is>
          <t>Modelo animado interactuable</t>
        </is>
      </c>
      <c r="C53" t="inlineStr">
        <is>
          <t>asset-rt</t>
        </is>
      </c>
      <c r="D53" t="inlineStr">
        <is>
          <t>Estado + triggers por interaccion</t>
        </is>
      </c>
      <c r="E53" t="inlineStr">
        <is>
          <t>RC-WEB</t>
        </is>
      </c>
      <c r="F53" s="8" t="n">
        <v>0</v>
      </c>
      <c r="G53" s="8" t="n">
        <v>0</v>
      </c>
      <c r="H53" s="8" t="n">
        <v>3</v>
      </c>
      <c r="I53" s="8" t="n">
        <v>6</v>
      </c>
      <c r="J53" s="8" t="n">
        <v>4</v>
      </c>
      <c r="K53" s="8" t="n">
        <v>10</v>
      </c>
      <c r="L53" s="8" t="n">
        <v>6</v>
      </c>
      <c r="M53" s="8" t="n">
        <v>20</v>
      </c>
      <c r="N53" s="8" t="n">
        <v>8</v>
      </c>
      <c r="O53" s="8" t="n">
        <v>25</v>
      </c>
      <c r="R53" s="9">
        <f>F53*$AB53</f>
        <v/>
      </c>
      <c r="S53" s="9">
        <f>G53*$AC53</f>
        <v/>
      </c>
      <c r="T53" s="9">
        <f>H53*$AB53</f>
        <v/>
      </c>
      <c r="U53" s="9">
        <f>I53*$AC53</f>
        <v/>
      </c>
      <c r="V53" s="9">
        <f>J53*$AB53</f>
        <v/>
      </c>
      <c r="W53" s="9">
        <f>K53*$AC53</f>
        <v/>
      </c>
      <c r="X53" s="9">
        <f>L53*$AB53</f>
        <v/>
      </c>
      <c r="Y53" s="9">
        <f>M53*$AC53</f>
        <v/>
      </c>
      <c r="Z53" s="9">
        <f>N53*$AB53</f>
        <v/>
      </c>
      <c r="AA53" s="9">
        <f>O53*$AC53</f>
        <v/>
      </c>
      <c r="AB53" s="5">
        <f>VLOOKUP($E53,Tarifas!$B$4:$F$8,2,0)</f>
        <v/>
      </c>
      <c r="AC53" s="5">
        <f>VLOOKUP($E53,Tarifas!$B$4:$F$8,3,0)</f>
        <v/>
      </c>
    </row>
    <row r="54">
      <c r="A54" t="inlineStr">
        <is>
          <t>RTA-04</t>
        </is>
      </c>
      <c r="B54" t="inlineStr">
        <is>
          <t>Modelo animado interactuable</t>
        </is>
      </c>
      <c r="C54" t="inlineStr">
        <is>
          <t>asset-rt</t>
        </is>
      </c>
      <c r="D54" t="inlineStr">
        <is>
          <t>QA de estados y combinaciones</t>
        </is>
      </c>
      <c r="E54" t="inlineStr">
        <is>
          <t>RC-WEB</t>
        </is>
      </c>
      <c r="F54" s="8" t="n">
        <v>0</v>
      </c>
      <c r="G54" s="8" t="n">
        <v>0</v>
      </c>
      <c r="H54" s="8" t="n">
        <v>1</v>
      </c>
      <c r="I54" s="8" t="n">
        <v>2</v>
      </c>
      <c r="J54" s="8" t="n">
        <v>2</v>
      </c>
      <c r="K54" s="8" t="n">
        <v>4</v>
      </c>
      <c r="L54" s="8" t="n">
        <v>3</v>
      </c>
      <c r="M54" s="8" t="n">
        <v>8</v>
      </c>
      <c r="N54" s="8" t="n">
        <v>4</v>
      </c>
      <c r="O54" s="8" t="n">
        <v>10</v>
      </c>
      <c r="R54" s="9">
        <f>F54*$AB54</f>
        <v/>
      </c>
      <c r="S54" s="9">
        <f>G54*$AC54</f>
        <v/>
      </c>
      <c r="T54" s="9">
        <f>H54*$AB54</f>
        <v/>
      </c>
      <c r="U54" s="9">
        <f>I54*$AC54</f>
        <v/>
      </c>
      <c r="V54" s="9">
        <f>J54*$AB54</f>
        <v/>
      </c>
      <c r="W54" s="9">
        <f>K54*$AC54</f>
        <v/>
      </c>
      <c r="X54" s="9">
        <f>L54*$AB54</f>
        <v/>
      </c>
      <c r="Y54" s="9">
        <f>M54*$AC54</f>
        <v/>
      </c>
      <c r="Z54" s="9">
        <f>N54*$AB54</f>
        <v/>
      </c>
      <c r="AA54" s="9">
        <f>O54*$AC54</f>
        <v/>
      </c>
      <c r="AB54" s="5">
        <f>VLOOKUP($E54,Tarifas!$B$4:$F$8,2,0)</f>
        <v/>
      </c>
      <c r="AC54" s="5">
        <f>VLOOKUP($E54,Tarifas!$B$4:$F$8,3,0)</f>
        <v/>
      </c>
    </row>
    <row r="55">
      <c r="A55" t="inlineStr">
        <is>
          <t>RTA-05</t>
        </is>
      </c>
      <c r="B55" t="inlineStr">
        <is>
          <t>Shaders estilizados</t>
        </is>
      </c>
      <c r="C55" t="inlineStr">
        <is>
          <t>asset-rt</t>
        </is>
      </c>
      <c r="D55" t="inlineStr">
        <is>
          <t>Shader basico (fresnel/emissive/gradiente)</t>
        </is>
      </c>
      <c r="E55" t="inlineStr">
        <is>
          <t>RC-RTA</t>
        </is>
      </c>
      <c r="F55" s="8" t="n">
        <v>0</v>
      </c>
      <c r="G55" s="8" t="n">
        <v>0</v>
      </c>
      <c r="H55" s="8" t="n">
        <v>2</v>
      </c>
      <c r="I55" s="8" t="n">
        <v>4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R55" s="9">
        <f>F55*$AB55</f>
        <v/>
      </c>
      <c r="S55" s="9">
        <f>G55*$AC55</f>
        <v/>
      </c>
      <c r="T55" s="9">
        <f>H55*$AB55</f>
        <v/>
      </c>
      <c r="U55" s="9">
        <f>I55*$AC55</f>
        <v/>
      </c>
      <c r="V55" s="9">
        <f>J55*$AB55</f>
        <v/>
      </c>
      <c r="W55" s="9">
        <f>K55*$AC55</f>
        <v/>
      </c>
      <c r="X55" s="9">
        <f>L55*$AB55</f>
        <v/>
      </c>
      <c r="Y55" s="9">
        <f>M55*$AC55</f>
        <v/>
      </c>
      <c r="Z55" s="9">
        <f>N55*$AB55</f>
        <v/>
      </c>
      <c r="AA55" s="9">
        <f>O55*$AC55</f>
        <v/>
      </c>
      <c r="AB55" s="5">
        <f>VLOOKUP($E55,Tarifas!$B$4:$F$8,2,0)</f>
        <v/>
      </c>
      <c r="AC55" s="5">
        <f>VLOOKUP($E55,Tarifas!$B$4:$F$8,3,0)</f>
        <v/>
      </c>
    </row>
    <row r="56">
      <c r="A56" t="inlineStr">
        <is>
          <t>RTA-05</t>
        </is>
      </c>
      <c r="B56" t="inlineStr">
        <is>
          <t>Shaders estilizados</t>
        </is>
      </c>
      <c r="C56" t="inlineStr">
        <is>
          <t>asset-rt</t>
        </is>
      </c>
      <c r="D56" t="inlineStr">
        <is>
          <t>Shader medio (disolucion/holograma/toon rampas)</t>
        </is>
      </c>
      <c r="E56" t="inlineStr">
        <is>
          <t>RC-RTA</t>
        </is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4</v>
      </c>
      <c r="K56" s="8" t="n">
        <v>8</v>
      </c>
      <c r="L56" s="8" t="n">
        <v>0</v>
      </c>
      <c r="M56" s="8" t="n">
        <v>0</v>
      </c>
      <c r="N56" s="8" t="n">
        <v>0</v>
      </c>
      <c r="O56" s="8" t="n">
        <v>0</v>
      </c>
      <c r="R56" s="9">
        <f>F56*$AB56</f>
        <v/>
      </c>
      <c r="S56" s="9">
        <f>G56*$AC56</f>
        <v/>
      </c>
      <c r="T56" s="9">
        <f>H56*$AB56</f>
        <v/>
      </c>
      <c r="U56" s="9">
        <f>I56*$AC56</f>
        <v/>
      </c>
      <c r="V56" s="9">
        <f>J56*$AB56</f>
        <v/>
      </c>
      <c r="W56" s="9">
        <f>K56*$AC56</f>
        <v/>
      </c>
      <c r="X56" s="9">
        <f>L56*$AB56</f>
        <v/>
      </c>
      <c r="Y56" s="9">
        <f>M56*$AC56</f>
        <v/>
      </c>
      <c r="Z56" s="9">
        <f>N56*$AB56</f>
        <v/>
      </c>
      <c r="AA56" s="9">
        <f>O56*$AC56</f>
        <v/>
      </c>
      <c r="AB56" s="5">
        <f>VLOOKUP($E56,Tarifas!$B$4:$F$8,2,0)</f>
        <v/>
      </c>
      <c r="AC56" s="5">
        <f>VLOOKUP($E56,Tarifas!$B$4:$F$8,3,0)</f>
        <v/>
      </c>
    </row>
    <row r="57">
      <c r="A57" t="inlineStr">
        <is>
          <t>RTA-05</t>
        </is>
      </c>
      <c r="B57" t="inlineStr">
        <is>
          <t>Shaders estilizados</t>
        </is>
      </c>
      <c r="C57" t="inlineStr">
        <is>
          <t>asset-rt</t>
        </is>
      </c>
      <c r="D57" t="inlineStr">
        <is>
          <t>Pipeline estilizado (outline pass + lighting custom)</t>
        </is>
      </c>
      <c r="E57" t="inlineStr">
        <is>
          <t>RC-RTA</t>
        </is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8</v>
      </c>
      <c r="M57" s="8" t="n">
        <v>16</v>
      </c>
      <c r="N57" s="8" t="n">
        <v>10</v>
      </c>
      <c r="O57" s="8" t="n">
        <v>20</v>
      </c>
      <c r="R57" s="9">
        <f>F57*$AB57</f>
        <v/>
      </c>
      <c r="S57" s="9">
        <f>G57*$AC57</f>
        <v/>
      </c>
      <c r="T57" s="9">
        <f>H57*$AB57</f>
        <v/>
      </c>
      <c r="U57" s="9">
        <f>I57*$AC57</f>
        <v/>
      </c>
      <c r="V57" s="9">
        <f>J57*$AB57</f>
        <v/>
      </c>
      <c r="W57" s="9">
        <f>K57*$AC57</f>
        <v/>
      </c>
      <c r="X57" s="9">
        <f>L57*$AB57</f>
        <v/>
      </c>
      <c r="Y57" s="9">
        <f>M57*$AC57</f>
        <v/>
      </c>
      <c r="Z57" s="9">
        <f>N57*$AB57</f>
        <v/>
      </c>
      <c r="AA57" s="9">
        <f>O57*$AC57</f>
        <v/>
      </c>
      <c r="AB57" s="5">
        <f>VLOOKUP($E57,Tarifas!$B$4:$F$8,2,0)</f>
        <v/>
      </c>
      <c r="AC57" s="5">
        <f>VLOOKUP($E57,Tarifas!$B$4:$F$8,3,0)</f>
        <v/>
      </c>
    </row>
    <row r="58">
      <c r="A58" t="inlineStr">
        <is>
          <t>RTA-05</t>
        </is>
      </c>
      <c r="B58" t="inlineStr">
        <is>
          <t>Shaders estilizados</t>
        </is>
      </c>
      <c r="C58" t="inlineStr">
        <is>
          <t>asset-rt</t>
        </is>
      </c>
      <c r="D58" t="inlineStr">
        <is>
          <t>Integracion + tuning por batch</t>
        </is>
      </c>
      <c r="E58" t="inlineStr">
        <is>
          <t>RC-WEB</t>
        </is>
      </c>
      <c r="F58" s="8" t="n">
        <v>0</v>
      </c>
      <c r="G58" s="8" t="n">
        <v>0</v>
      </c>
      <c r="H58" s="8" t="n">
        <v>2</v>
      </c>
      <c r="I58" s="8" t="n">
        <v>6</v>
      </c>
      <c r="J58" s="8" t="n">
        <v>2</v>
      </c>
      <c r="K58" s="8" t="n">
        <v>6</v>
      </c>
      <c r="L58" s="8" t="n">
        <v>2</v>
      </c>
      <c r="M58" s="8" t="n">
        <v>6</v>
      </c>
      <c r="N58" s="8" t="n">
        <v>2</v>
      </c>
      <c r="O58" s="8" t="n">
        <v>6</v>
      </c>
      <c r="R58" s="9">
        <f>F58*$AB58</f>
        <v/>
      </c>
      <c r="S58" s="9">
        <f>G58*$AC58</f>
        <v/>
      </c>
      <c r="T58" s="9">
        <f>H58*$AB58</f>
        <v/>
      </c>
      <c r="U58" s="9">
        <f>I58*$AC58</f>
        <v/>
      </c>
      <c r="V58" s="9">
        <f>J58*$AB58</f>
        <v/>
      </c>
      <c r="W58" s="9">
        <f>K58*$AC58</f>
        <v/>
      </c>
      <c r="X58" s="9">
        <f>L58*$AB58</f>
        <v/>
      </c>
      <c r="Y58" s="9">
        <f>M58*$AC58</f>
        <v/>
      </c>
      <c r="Z58" s="9">
        <f>N58*$AB58</f>
        <v/>
      </c>
      <c r="AA58" s="9">
        <f>O58*$AC58</f>
        <v/>
      </c>
      <c r="AB58" s="5">
        <f>VLOOKUP($E58,Tarifas!$B$4:$F$8,2,0)</f>
        <v/>
      </c>
      <c r="AC58" s="5">
        <f>VLOOKUP($E58,Tarifas!$B$4:$F$8,3,0)</f>
        <v/>
      </c>
    </row>
    <row r="59">
      <c r="A59" t="inlineStr">
        <is>
          <t>RTA-06</t>
        </is>
      </c>
      <c r="B59" t="inlineStr">
        <is>
          <t>Mecanicas sobre asset realtime</t>
        </is>
      </c>
      <c r="C59" t="inlineStr">
        <is>
          <t>asset-rt</t>
        </is>
      </c>
      <c r="D59" t="inlineStr">
        <is>
          <t>Mecanica S (explosion &lt;=10 pzs / config &lt;=5 opciones / cutaway simple)</t>
        </is>
      </c>
      <c r="E59" t="inlineStr">
        <is>
          <t>RC-WEB</t>
        </is>
      </c>
      <c r="F59" s="8" t="n">
        <v>0</v>
      </c>
      <c r="G59" s="8" t="n">
        <v>0</v>
      </c>
      <c r="H59" s="8" t="n">
        <v>3</v>
      </c>
      <c r="I59" s="8" t="n">
        <v>9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R59" s="9">
        <f>F59*$AB59</f>
        <v/>
      </c>
      <c r="S59" s="9">
        <f>G59*$AC59</f>
        <v/>
      </c>
      <c r="T59" s="9">
        <f>H59*$AB59</f>
        <v/>
      </c>
      <c r="U59" s="9">
        <f>I59*$AC59</f>
        <v/>
      </c>
      <c r="V59" s="9">
        <f>J59*$AB59</f>
        <v/>
      </c>
      <c r="W59" s="9">
        <f>K59*$AC59</f>
        <v/>
      </c>
      <c r="X59" s="9">
        <f>L59*$AB59</f>
        <v/>
      </c>
      <c r="Y59" s="9">
        <f>M59*$AC59</f>
        <v/>
      </c>
      <c r="Z59" s="9">
        <f>N59*$AB59</f>
        <v/>
      </c>
      <c r="AA59" s="9">
        <f>O59*$AC59</f>
        <v/>
      </c>
      <c r="AB59" s="5">
        <f>VLOOKUP($E59,Tarifas!$B$4:$F$8,2,0)</f>
        <v/>
      </c>
      <c r="AC59" s="5">
        <f>VLOOKUP($E59,Tarifas!$B$4:$F$8,3,0)</f>
        <v/>
      </c>
    </row>
    <row r="60">
      <c r="A60" t="inlineStr">
        <is>
          <t>RTA-06</t>
        </is>
      </c>
      <c r="B60" t="inlineStr">
        <is>
          <t>Mecanicas sobre asset realtime</t>
        </is>
      </c>
      <c r="C60" t="inlineStr">
        <is>
          <t>asset-rt</t>
        </is>
      </c>
      <c r="D60" t="inlineStr">
        <is>
          <t>Mecanica M (11-40 pzs etiquetas / config 6-15 opciones)</t>
        </is>
      </c>
      <c r="E60" t="inlineStr">
        <is>
          <t>RC-WEB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7</v>
      </c>
      <c r="K60" s="8" t="n">
        <v>20</v>
      </c>
      <c r="L60" s="8" t="n">
        <v>0</v>
      </c>
      <c r="M60" s="8" t="n">
        <v>0</v>
      </c>
      <c r="N60" s="8" t="n">
        <v>0</v>
      </c>
      <c r="O60" s="8" t="n">
        <v>0</v>
      </c>
      <c r="R60" s="9">
        <f>F60*$AB60</f>
        <v/>
      </c>
      <c r="S60" s="9">
        <f>G60*$AC60</f>
        <v/>
      </c>
      <c r="T60" s="9">
        <f>H60*$AB60</f>
        <v/>
      </c>
      <c r="U60" s="9">
        <f>I60*$AC60</f>
        <v/>
      </c>
      <c r="V60" s="9">
        <f>J60*$AB60</f>
        <v/>
      </c>
      <c r="W60" s="9">
        <f>K60*$AC60</f>
        <v/>
      </c>
      <c r="X60" s="9">
        <f>L60*$AB60</f>
        <v/>
      </c>
      <c r="Y60" s="9">
        <f>M60*$AC60</f>
        <v/>
      </c>
      <c r="Z60" s="9">
        <f>N60*$AB60</f>
        <v/>
      </c>
      <c r="AA60" s="9">
        <f>O60*$AC60</f>
        <v/>
      </c>
      <c r="AB60" s="5">
        <f>VLOOKUP($E60,Tarifas!$B$4:$F$8,2,0)</f>
        <v/>
      </c>
      <c r="AC60" s="5">
        <f>VLOOKUP($E60,Tarifas!$B$4:$F$8,3,0)</f>
        <v/>
      </c>
    </row>
    <row r="61">
      <c r="A61" t="inlineStr">
        <is>
          <t>RTA-06</t>
        </is>
      </c>
      <c r="B61" t="inlineStr">
        <is>
          <t>Mecanicas sobre asset realtime</t>
        </is>
      </c>
      <c r="C61" t="inlineStr">
        <is>
          <t>asset-rt</t>
        </is>
      </c>
      <c r="D61" t="inlineStr">
        <is>
          <t>Mecanica L (multi-nivel / multi-eje + share URL)</t>
        </is>
      </c>
      <c r="E61" t="inlineStr">
        <is>
          <t>RC-WEB</t>
        </is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18</v>
      </c>
      <c r="M61" s="8" t="n">
        <v>40</v>
      </c>
      <c r="N61" s="8" t="n">
        <v>22</v>
      </c>
      <c r="O61" s="8" t="n">
        <v>50</v>
      </c>
      <c r="R61" s="9">
        <f>F61*$AB61</f>
        <v/>
      </c>
      <c r="S61" s="9">
        <f>G61*$AC61</f>
        <v/>
      </c>
      <c r="T61" s="9">
        <f>H61*$AB61</f>
        <v/>
      </c>
      <c r="U61" s="9">
        <f>I61*$AC61</f>
        <v/>
      </c>
      <c r="V61" s="9">
        <f>J61*$AB61</f>
        <v/>
      </c>
      <c r="W61" s="9">
        <f>K61*$AC61</f>
        <v/>
      </c>
      <c r="X61" s="9">
        <f>L61*$AB61</f>
        <v/>
      </c>
      <c r="Y61" s="9">
        <f>M61*$AC61</f>
        <v/>
      </c>
      <c r="Z61" s="9">
        <f>N61*$AB61</f>
        <v/>
      </c>
      <c r="AA61" s="9">
        <f>O61*$AC61</f>
        <v/>
      </c>
      <c r="AB61" s="5">
        <f>VLOOKUP($E61,Tarifas!$B$4:$F$8,2,0)</f>
        <v/>
      </c>
      <c r="AC61" s="5">
        <f>VLOOKUP($E61,Tarifas!$B$4:$F$8,3,0)</f>
        <v/>
      </c>
    </row>
    <row r="62">
      <c r="A62" t="inlineStr">
        <is>
          <t>RTA-06</t>
        </is>
      </c>
      <c r="B62" t="inlineStr">
        <is>
          <t>Mecanicas sobre asset realtime</t>
        </is>
      </c>
      <c r="C62" t="inlineStr">
        <is>
          <t>asset-rt</t>
        </is>
      </c>
      <c r="D62" t="inlineStr">
        <is>
          <t>Mediciones/cotas en escena (opcional)</t>
        </is>
      </c>
      <c r="E62" t="inlineStr">
        <is>
          <t>RC-WEB</t>
        </is>
      </c>
      <c r="F62" s="8" t="n">
        <v>0</v>
      </c>
      <c r="G62" s="8" t="n">
        <v>0</v>
      </c>
      <c r="H62" s="8" t="n">
        <v>1</v>
      </c>
      <c r="I62" s="8" t="n">
        <v>3</v>
      </c>
      <c r="J62" s="8" t="n">
        <v>2</v>
      </c>
      <c r="K62" s="8" t="n">
        <v>5</v>
      </c>
      <c r="L62" s="8" t="n">
        <v>3</v>
      </c>
      <c r="M62" s="8" t="n">
        <v>7</v>
      </c>
      <c r="N62" s="8" t="n">
        <v>4</v>
      </c>
      <c r="O62" s="8" t="n">
        <v>8</v>
      </c>
      <c r="R62" s="9">
        <f>F62*$AB62</f>
        <v/>
      </c>
      <c r="S62" s="9">
        <f>G62*$AC62</f>
        <v/>
      </c>
      <c r="T62" s="9">
        <f>H62*$AB62</f>
        <v/>
      </c>
      <c r="U62" s="9">
        <f>I62*$AC62</f>
        <v/>
      </c>
      <c r="V62" s="9">
        <f>J62*$AB62</f>
        <v/>
      </c>
      <c r="W62" s="9">
        <f>K62*$AC62</f>
        <v/>
      </c>
      <c r="X62" s="9">
        <f>L62*$AB62</f>
        <v/>
      </c>
      <c r="Y62" s="9">
        <f>M62*$AC62</f>
        <v/>
      </c>
      <c r="Z62" s="9">
        <f>N62*$AB62</f>
        <v/>
      </c>
      <c r="AA62" s="9">
        <f>O62*$AC62</f>
        <v/>
      </c>
      <c r="AB62" s="5">
        <f>VLOOKUP($E62,Tarifas!$B$4:$F$8,2,0)</f>
        <v/>
      </c>
      <c r="AC62" s="5">
        <f>VLOOKUP($E62,Tarifas!$B$4:$F$8,3,0)</f>
        <v/>
      </c>
    </row>
    <row r="63">
      <c r="A63" t="inlineStr">
        <is>
          <t>WEB-02</t>
        </is>
      </c>
      <c r="B63" t="inlineStr">
        <is>
          <t>Visor embebido (Spline/Sketchfab/model-viewer)</t>
        </is>
      </c>
      <c r="C63" t="inlineStr">
        <is>
          <t>web-3d</t>
        </is>
      </c>
      <c r="D63" t="inlineStr">
        <is>
          <t>Adaptar asset + embed responsive</t>
        </is>
      </c>
      <c r="E63" t="inlineStr">
        <is>
          <t>RC-WEB</t>
        </is>
      </c>
      <c r="F63" s="8" t="n">
        <v>0</v>
      </c>
      <c r="G63" s="8" t="n">
        <v>0</v>
      </c>
      <c r="H63" s="8" t="n">
        <v>2</v>
      </c>
      <c r="I63" s="8" t="n">
        <v>5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R63" s="9">
        <f>F63*$AB63</f>
        <v/>
      </c>
      <c r="S63" s="9">
        <f>G63*$AC63</f>
        <v/>
      </c>
      <c r="T63" s="9">
        <f>H63*$AB63</f>
        <v/>
      </c>
      <c r="U63" s="9">
        <f>I63*$AC63</f>
        <v/>
      </c>
      <c r="V63" s="9">
        <f>J63*$AB63</f>
        <v/>
      </c>
      <c r="W63" s="9">
        <f>K63*$AC63</f>
        <v/>
      </c>
      <c r="X63" s="9">
        <f>L63*$AB63</f>
        <v/>
      </c>
      <c r="Y63" s="9">
        <f>M63*$AC63</f>
        <v/>
      </c>
      <c r="Z63" s="9">
        <f>N63*$AB63</f>
        <v/>
      </c>
      <c r="AA63" s="9">
        <f>O63*$AC63</f>
        <v/>
      </c>
      <c r="AB63" s="5">
        <f>VLOOKUP($E63,Tarifas!$B$4:$F$8,2,0)</f>
        <v/>
      </c>
      <c r="AC63" s="5">
        <f>VLOOKUP($E63,Tarifas!$B$4:$F$8,3,0)</f>
        <v/>
      </c>
    </row>
    <row r="64">
      <c r="A64" t="inlineStr">
        <is>
          <t>WEB-02</t>
        </is>
      </c>
      <c r="B64" t="inlineStr">
        <is>
          <t>Visor embebido (Spline/Sketchfab/model-viewer)</t>
        </is>
      </c>
      <c r="C64" t="inlineStr">
        <is>
          <t>web-3d</t>
        </is>
      </c>
      <c r="D64" t="inlineStr">
        <is>
          <t>Skin/loading custom + API + analytics</t>
        </is>
      </c>
      <c r="E64" t="inlineStr">
        <is>
          <t>RC-WEB</t>
        </is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5</v>
      </c>
      <c r="K64" s="8" t="n">
        <v>12</v>
      </c>
      <c r="L64" s="8" t="n">
        <v>0</v>
      </c>
      <c r="M64" s="8" t="n">
        <v>0</v>
      </c>
      <c r="N64" s="8" t="n">
        <v>0</v>
      </c>
      <c r="O64" s="8" t="n">
        <v>0</v>
      </c>
      <c r="R64" s="9">
        <f>F64*$AB64</f>
        <v/>
      </c>
      <c r="S64" s="9">
        <f>G64*$AC64</f>
        <v/>
      </c>
      <c r="T64" s="9">
        <f>H64*$AB64</f>
        <v/>
      </c>
      <c r="U64" s="9">
        <f>I64*$AC64</f>
        <v/>
      </c>
      <c r="V64" s="9">
        <f>J64*$AB64</f>
        <v/>
      </c>
      <c r="W64" s="9">
        <f>K64*$AC64</f>
        <v/>
      </c>
      <c r="X64" s="9">
        <f>L64*$AB64</f>
        <v/>
      </c>
      <c r="Y64" s="9">
        <f>M64*$AC64</f>
        <v/>
      </c>
      <c r="Z64" s="9">
        <f>N64*$AB64</f>
        <v/>
      </c>
      <c r="AA64" s="9">
        <f>O64*$AC64</f>
        <v/>
      </c>
      <c r="AB64" s="5">
        <f>VLOOKUP($E64,Tarifas!$B$4:$F$8,2,0)</f>
        <v/>
      </c>
      <c r="AC64" s="5">
        <f>VLOOKUP($E64,Tarifas!$B$4:$F$8,3,0)</f>
        <v/>
      </c>
    </row>
    <row r="65">
      <c r="A65" t="inlineStr">
        <is>
          <t>WEB-02</t>
        </is>
      </c>
      <c r="B65" t="inlineStr">
        <is>
          <t>Visor embebido (Spline/Sketchfab/model-viewer)</t>
        </is>
      </c>
      <c r="C65" t="inlineStr">
        <is>
          <t>web-3d</t>
        </is>
      </c>
      <c r="D65" t="inlineStr">
        <is>
          <t>Multi-escena + contenido via JSON editable</t>
        </is>
      </c>
      <c r="E65" t="inlineStr">
        <is>
          <t>RC-WEB</t>
        </is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12</v>
      </c>
      <c r="M65" s="8" t="n">
        <v>24</v>
      </c>
      <c r="N65" s="8" t="n">
        <v>14</v>
      </c>
      <c r="O65" s="8" t="n">
        <v>29</v>
      </c>
      <c r="R65" s="9">
        <f>F65*$AB65</f>
        <v/>
      </c>
      <c r="S65" s="9">
        <f>G65*$AC65</f>
        <v/>
      </c>
      <c r="T65" s="9">
        <f>H65*$AB65</f>
        <v/>
      </c>
      <c r="U65" s="9">
        <f>I65*$AC65</f>
        <v/>
      </c>
      <c r="V65" s="9">
        <f>J65*$AB65</f>
        <v/>
      </c>
      <c r="W65" s="9">
        <f>K65*$AC65</f>
        <v/>
      </c>
      <c r="X65" s="9">
        <f>L65*$AB65</f>
        <v/>
      </c>
      <c r="Y65" s="9">
        <f>M65*$AC65</f>
        <v/>
      </c>
      <c r="Z65" s="9">
        <f>N65*$AB65</f>
        <v/>
      </c>
      <c r="AA65" s="9">
        <f>O65*$AC65</f>
        <v/>
      </c>
      <c r="AB65" s="5">
        <f>VLOOKUP($E65,Tarifas!$B$4:$F$8,2,0)</f>
        <v/>
      </c>
      <c r="AC65" s="5">
        <f>VLOOKUP($E65,Tarifas!$B$4:$F$8,3,0)</f>
        <v/>
      </c>
    </row>
    <row r="66">
      <c r="A66" t="inlineStr">
        <is>
          <t>WEB-03</t>
        </is>
      </c>
      <c r="B66" t="inlineStr">
        <is>
          <t>Unity WebGL: build y embedding</t>
        </is>
      </c>
      <c r="C66" t="inlineStr">
        <is>
          <t>web-3d</t>
        </is>
      </c>
      <c r="D66" t="inlineStr">
        <is>
          <t>Build + compresion + template loading</t>
        </is>
      </c>
      <c r="E66" t="inlineStr">
        <is>
          <t>RC-WEB</t>
        </is>
      </c>
      <c r="F66" s="8" t="n">
        <v>0</v>
      </c>
      <c r="G66" s="8" t="n">
        <v>0</v>
      </c>
      <c r="H66" s="8" t="n">
        <v>4</v>
      </c>
      <c r="I66" s="8" t="n">
        <v>6</v>
      </c>
      <c r="J66" s="8" t="n">
        <v>4</v>
      </c>
      <c r="K66" s="8" t="n">
        <v>7</v>
      </c>
      <c r="L66" s="8" t="n">
        <v>6</v>
      </c>
      <c r="M66" s="8" t="n">
        <v>10</v>
      </c>
      <c r="N66" s="8" t="n">
        <v>7</v>
      </c>
      <c r="O66" s="8" t="n">
        <v>12</v>
      </c>
      <c r="R66" s="9">
        <f>F66*$AB66</f>
        <v/>
      </c>
      <c r="S66" s="9">
        <f>G66*$AC66</f>
        <v/>
      </c>
      <c r="T66" s="9">
        <f>H66*$AB66</f>
        <v/>
      </c>
      <c r="U66" s="9">
        <f>I66*$AC66</f>
        <v/>
      </c>
      <c r="V66" s="9">
        <f>J66*$AB66</f>
        <v/>
      </c>
      <c r="W66" s="9">
        <f>K66*$AC66</f>
        <v/>
      </c>
      <c r="X66" s="9">
        <f>L66*$AB66</f>
        <v/>
      </c>
      <c r="Y66" s="9">
        <f>M66*$AC66</f>
        <v/>
      </c>
      <c r="Z66" s="9">
        <f>N66*$AB66</f>
        <v/>
      </c>
      <c r="AA66" s="9">
        <f>O66*$AC66</f>
        <v/>
      </c>
      <c r="AB66" s="5">
        <f>VLOOKUP($E66,Tarifas!$B$4:$F$8,2,0)</f>
        <v/>
      </c>
      <c r="AC66" s="5">
        <f>VLOOKUP($E66,Tarifas!$B$4:$F$8,3,0)</f>
        <v/>
      </c>
    </row>
    <row r="67">
      <c r="A67" t="inlineStr">
        <is>
          <t>WEB-03</t>
        </is>
      </c>
      <c r="B67" t="inlineStr">
        <is>
          <t>Unity WebGL: build y embedding</t>
        </is>
      </c>
      <c r="C67" t="inlineStr">
        <is>
          <t>web-3d</t>
        </is>
      </c>
      <c r="D67" t="inlineStr">
        <is>
          <t>Embed responsive + integracion al sitio</t>
        </is>
      </c>
      <c r="E67" t="inlineStr">
        <is>
          <t>RC-WEB</t>
        </is>
      </c>
      <c r="F67" s="8" t="n">
        <v>0</v>
      </c>
      <c r="G67" s="8" t="n">
        <v>0</v>
      </c>
      <c r="H67" s="8" t="n">
        <v>2</v>
      </c>
      <c r="I67" s="8" t="n">
        <v>4</v>
      </c>
      <c r="J67" s="8" t="n">
        <v>3</v>
      </c>
      <c r="K67" s="8" t="n">
        <v>6</v>
      </c>
      <c r="L67" s="8" t="n">
        <v>4</v>
      </c>
      <c r="M67" s="8" t="n">
        <v>8</v>
      </c>
      <c r="N67" s="8" t="n">
        <v>5</v>
      </c>
      <c r="O67" s="8" t="n">
        <v>9</v>
      </c>
      <c r="R67" s="9">
        <f>F67*$AB67</f>
        <v/>
      </c>
      <c r="S67" s="9">
        <f>G67*$AC67</f>
        <v/>
      </c>
      <c r="T67" s="9">
        <f>H67*$AB67</f>
        <v/>
      </c>
      <c r="U67" s="9">
        <f>I67*$AC67</f>
        <v/>
      </c>
      <c r="V67" s="9">
        <f>J67*$AB67</f>
        <v/>
      </c>
      <c r="W67" s="9">
        <f>K67*$AC67</f>
        <v/>
      </c>
      <c r="X67" s="9">
        <f>L67*$AB67</f>
        <v/>
      </c>
      <c r="Y67" s="9">
        <f>M67*$AC67</f>
        <v/>
      </c>
      <c r="Z67" s="9">
        <f>N67*$AB67</f>
        <v/>
      </c>
      <c r="AA67" s="9">
        <f>O67*$AC67</f>
        <v/>
      </c>
      <c r="AB67" s="5">
        <f>VLOOKUP($E67,Tarifas!$B$4:$F$8,2,0)</f>
        <v/>
      </c>
      <c r="AC67" s="5">
        <f>VLOOKUP($E67,Tarifas!$B$4:$F$8,3,0)</f>
        <v/>
      </c>
    </row>
    <row r="68">
      <c r="A68" t="inlineStr">
        <is>
          <t>WEB-03</t>
        </is>
      </c>
      <c r="B68" t="inlineStr">
        <is>
          <t>Unity WebGL: build y embedding</t>
        </is>
      </c>
      <c r="C68" t="inlineStr">
        <is>
          <t>web-3d</t>
        </is>
      </c>
      <c r="D68" t="inlineStr">
        <is>
          <t>Puente JS &lt;-&gt; Unity bidireccional</t>
        </is>
      </c>
      <c r="E68" t="inlineStr">
        <is>
          <t>RC-WEB</t>
        </is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4</v>
      </c>
      <c r="K68" s="8" t="n">
        <v>8</v>
      </c>
      <c r="L68" s="8" t="n">
        <v>8</v>
      </c>
      <c r="M68" s="8" t="n">
        <v>14</v>
      </c>
      <c r="N68" s="8" t="n">
        <v>10</v>
      </c>
      <c r="O68" s="8" t="n">
        <v>17</v>
      </c>
      <c r="R68" s="9">
        <f>F68*$AB68</f>
        <v/>
      </c>
      <c r="S68" s="9">
        <f>G68*$AC68</f>
        <v/>
      </c>
      <c r="T68" s="9">
        <f>H68*$AB68</f>
        <v/>
      </c>
      <c r="U68" s="9">
        <f>I68*$AC68</f>
        <v/>
      </c>
      <c r="V68" s="9">
        <f>J68*$AB68</f>
        <v/>
      </c>
      <c r="W68" s="9">
        <f>K68*$AC68</f>
        <v/>
      </c>
      <c r="X68" s="9">
        <f>L68*$AB68</f>
        <v/>
      </c>
      <c r="Y68" s="9">
        <f>M68*$AC68</f>
        <v/>
      </c>
      <c r="Z68" s="9">
        <f>N68*$AB68</f>
        <v/>
      </c>
      <c r="AA68" s="9">
        <f>O68*$AC68</f>
        <v/>
      </c>
      <c r="AB68" s="5">
        <f>VLOOKUP($E68,Tarifas!$B$4:$F$8,2,0)</f>
        <v/>
      </c>
      <c r="AC68" s="5">
        <f>VLOOKUP($E68,Tarifas!$B$4:$F$8,3,0)</f>
        <v/>
      </c>
    </row>
    <row r="69">
      <c r="A69" t="inlineStr">
        <is>
          <t>WEB-03</t>
        </is>
      </c>
      <c r="B69" t="inlineStr">
        <is>
          <t>Unity WebGL: build y embedding</t>
        </is>
      </c>
      <c r="C69" t="inlineStr">
        <is>
          <t>web-3d</t>
        </is>
      </c>
      <c r="D69" t="inlineStr">
        <is>
          <t>Presupuesto memoria/perf movil</t>
        </is>
      </c>
      <c r="E69" t="inlineStr">
        <is>
          <t>RC-WEB</t>
        </is>
      </c>
      <c r="F69" s="8" t="n">
        <v>0</v>
      </c>
      <c r="G69" s="8" t="n">
        <v>0</v>
      </c>
      <c r="H69" s="8" t="n">
        <v>2</v>
      </c>
      <c r="I69" s="8" t="n">
        <v>4</v>
      </c>
      <c r="J69" s="8" t="n">
        <v>3</v>
      </c>
      <c r="K69" s="8" t="n">
        <v>5</v>
      </c>
      <c r="L69" s="8" t="n">
        <v>4</v>
      </c>
      <c r="M69" s="8" t="n">
        <v>7</v>
      </c>
      <c r="N69" s="8" t="n">
        <v>5</v>
      </c>
      <c r="O69" s="8" t="n">
        <v>8</v>
      </c>
      <c r="R69" s="9">
        <f>F69*$AB69</f>
        <v/>
      </c>
      <c r="S69" s="9">
        <f>G69*$AC69</f>
        <v/>
      </c>
      <c r="T69" s="9">
        <f>H69*$AB69</f>
        <v/>
      </c>
      <c r="U69" s="9">
        <f>I69*$AC69</f>
        <v/>
      </c>
      <c r="V69" s="9">
        <f>J69*$AB69</f>
        <v/>
      </c>
      <c r="W69" s="9">
        <f>K69*$AC69</f>
        <v/>
      </c>
      <c r="X69" s="9">
        <f>L69*$AB69</f>
        <v/>
      </c>
      <c r="Y69" s="9">
        <f>M69*$AC69</f>
        <v/>
      </c>
      <c r="Z69" s="9">
        <f>N69*$AB69</f>
        <v/>
      </c>
      <c r="AA69" s="9">
        <f>O69*$AC69</f>
        <v/>
      </c>
      <c r="AB69" s="5">
        <f>VLOOKUP($E69,Tarifas!$B$4:$F$8,2,0)</f>
        <v/>
      </c>
      <c r="AC69" s="5">
        <f>VLOOKUP($E69,Tarifas!$B$4:$F$8,3,0)</f>
        <v/>
      </c>
    </row>
    <row r="70">
      <c r="A70" t="inlineStr">
        <is>
          <t>WEB-03</t>
        </is>
      </c>
      <c r="B70" t="inlineStr">
        <is>
          <t>Unity WebGL: build y embedding</t>
        </is>
      </c>
      <c r="C70" t="inlineStr">
        <is>
          <t>web-3d</t>
        </is>
      </c>
      <c r="D70" t="inlineStr">
        <is>
          <t>QA navegadores (iOS Safari incluido)</t>
        </is>
      </c>
      <c r="E70" t="inlineStr">
        <is>
          <t>RC-WEB</t>
        </is>
      </c>
      <c r="F70" s="8" t="n">
        <v>0</v>
      </c>
      <c r="G70" s="8" t="n">
        <v>0</v>
      </c>
      <c r="H70" s="8" t="n">
        <v>2</v>
      </c>
      <c r="I70" s="8" t="n">
        <v>4</v>
      </c>
      <c r="J70" s="8" t="n">
        <v>3</v>
      </c>
      <c r="K70" s="8" t="n">
        <v>6</v>
      </c>
      <c r="L70" s="8" t="n">
        <v>4</v>
      </c>
      <c r="M70" s="8" t="n">
        <v>8</v>
      </c>
      <c r="N70" s="8" t="n">
        <v>5</v>
      </c>
      <c r="O70" s="8" t="n">
        <v>9</v>
      </c>
      <c r="R70" s="9">
        <f>F70*$AB70</f>
        <v/>
      </c>
      <c r="S70" s="9">
        <f>G70*$AC70</f>
        <v/>
      </c>
      <c r="T70" s="9">
        <f>H70*$AB70</f>
        <v/>
      </c>
      <c r="U70" s="9">
        <f>I70*$AC70</f>
        <v/>
      </c>
      <c r="V70" s="9">
        <f>J70*$AB70</f>
        <v/>
      </c>
      <c r="W70" s="9">
        <f>K70*$AC70</f>
        <v/>
      </c>
      <c r="X70" s="9">
        <f>L70*$AB70</f>
        <v/>
      </c>
      <c r="Y70" s="9">
        <f>M70*$AC70</f>
        <v/>
      </c>
      <c r="Z70" s="9">
        <f>N70*$AB70</f>
        <v/>
      </c>
      <c r="AA70" s="9">
        <f>O70*$AC70</f>
        <v/>
      </c>
      <c r="AB70" s="5">
        <f>VLOOKUP($E70,Tarifas!$B$4:$F$8,2,0)</f>
        <v/>
      </c>
      <c r="AC70" s="5">
        <f>VLOOKUP($E70,Tarifas!$B$4:$F$8,3,0)</f>
        <v/>
      </c>
    </row>
    <row r="71">
      <c r="A71" t="inlineStr">
        <is>
          <t>WEB-05</t>
        </is>
      </c>
      <c r="B71" t="inlineStr">
        <is>
          <t>Scrollytelling con 3D</t>
        </is>
      </c>
      <c r="C71" t="inlineStr">
        <is>
          <t>web-3d</t>
        </is>
      </c>
      <c r="D71" t="inlineStr">
        <is>
          <t>Storyboard tecnico + wireframe scroll</t>
        </is>
      </c>
      <c r="E71" t="inlineStr">
        <is>
          <t>RC-WEB</t>
        </is>
      </c>
      <c r="F71" s="8" t="n">
        <v>0</v>
      </c>
      <c r="G71" s="8" t="n">
        <v>0</v>
      </c>
      <c r="H71" s="8" t="n">
        <v>2</v>
      </c>
      <c r="I71" s="8" t="n">
        <v>3</v>
      </c>
      <c r="J71" s="8" t="n">
        <v>3</v>
      </c>
      <c r="K71" s="8" t="n">
        <v>5</v>
      </c>
      <c r="L71" s="8" t="n">
        <v>4</v>
      </c>
      <c r="M71" s="8" t="n">
        <v>8</v>
      </c>
      <c r="N71" s="8" t="n">
        <v>5</v>
      </c>
      <c r="O71" s="8" t="n">
        <v>9</v>
      </c>
      <c r="R71" s="9">
        <f>F71*$AB71</f>
        <v/>
      </c>
      <c r="S71" s="9">
        <f>G71*$AC71</f>
        <v/>
      </c>
      <c r="T71" s="9">
        <f>H71*$AB71</f>
        <v/>
      </c>
      <c r="U71" s="9">
        <f>I71*$AC71</f>
        <v/>
      </c>
      <c r="V71" s="9">
        <f>J71*$AB71</f>
        <v/>
      </c>
      <c r="W71" s="9">
        <f>K71*$AC71</f>
        <v/>
      </c>
      <c r="X71" s="9">
        <f>L71*$AB71</f>
        <v/>
      </c>
      <c r="Y71" s="9">
        <f>M71*$AC71</f>
        <v/>
      </c>
      <c r="Z71" s="9">
        <f>N71*$AB71</f>
        <v/>
      </c>
      <c r="AA71" s="9">
        <f>O71*$AC71</f>
        <v/>
      </c>
      <c r="AB71" s="5">
        <f>VLOOKUP($E71,Tarifas!$B$4:$F$8,2,0)</f>
        <v/>
      </c>
      <c r="AC71" s="5">
        <f>VLOOKUP($E71,Tarifas!$B$4:$F$8,3,0)</f>
        <v/>
      </c>
    </row>
    <row r="72">
      <c r="A72" t="inlineStr">
        <is>
          <t>WEB-05</t>
        </is>
      </c>
      <c r="B72" t="inlineStr">
        <is>
          <t>Scrollytelling con 3D</t>
        </is>
      </c>
      <c r="C72" t="inlineStr">
        <is>
          <t>web-3d</t>
        </is>
      </c>
      <c r="D72" t="inlineStr">
        <is>
          <t>Timeline scroll-driven (camara/estado)</t>
        </is>
      </c>
      <c r="E72" t="inlineStr">
        <is>
          <t>RC-WEB</t>
        </is>
      </c>
      <c r="F72" s="8" t="n">
        <v>0</v>
      </c>
      <c r="G72" s="8" t="n">
        <v>0</v>
      </c>
      <c r="H72" s="8" t="n">
        <v>5</v>
      </c>
      <c r="I72" s="8" t="n">
        <v>8</v>
      </c>
      <c r="J72" s="8" t="n">
        <v>8</v>
      </c>
      <c r="K72" s="8" t="n">
        <v>15</v>
      </c>
      <c r="L72" s="8" t="n">
        <v>15</v>
      </c>
      <c r="M72" s="8" t="n">
        <v>30</v>
      </c>
      <c r="N72" s="8" t="n">
        <v>18</v>
      </c>
      <c r="O72" s="8" t="n">
        <v>36</v>
      </c>
      <c r="R72" s="9">
        <f>F72*$AB72</f>
        <v/>
      </c>
      <c r="S72" s="9">
        <f>G72*$AC72</f>
        <v/>
      </c>
      <c r="T72" s="9">
        <f>H72*$AB72</f>
        <v/>
      </c>
      <c r="U72" s="9">
        <f>I72*$AC72</f>
        <v/>
      </c>
      <c r="V72" s="9">
        <f>J72*$AB72</f>
        <v/>
      </c>
      <c r="W72" s="9">
        <f>K72*$AC72</f>
        <v/>
      </c>
      <c r="X72" s="9">
        <f>L72*$AB72</f>
        <v/>
      </c>
      <c r="Y72" s="9">
        <f>M72*$AC72</f>
        <v/>
      </c>
      <c r="Z72" s="9">
        <f>N72*$AB72</f>
        <v/>
      </c>
      <c r="AA72" s="9">
        <f>O72*$AC72</f>
        <v/>
      </c>
      <c r="AB72" s="5">
        <f>VLOOKUP($E72,Tarifas!$B$4:$F$8,2,0)</f>
        <v/>
      </c>
      <c r="AC72" s="5">
        <f>VLOOKUP($E72,Tarifas!$B$4:$F$8,3,0)</f>
        <v/>
      </c>
    </row>
    <row r="73">
      <c r="A73" t="inlineStr">
        <is>
          <t>WEB-05</t>
        </is>
      </c>
      <c r="B73" t="inlineStr">
        <is>
          <t>Scrollytelling con 3D</t>
        </is>
      </c>
      <c r="C73" t="inlineStr">
        <is>
          <t>web-3d</t>
        </is>
      </c>
      <c r="D73" t="inlineStr">
        <is>
          <t>Sincronizacion copy/secciones DOM</t>
        </is>
      </c>
      <c r="E73" t="inlineStr">
        <is>
          <t>RC-WEB</t>
        </is>
      </c>
      <c r="F73" s="8" t="n">
        <v>0</v>
      </c>
      <c r="G73" s="8" t="n">
        <v>0</v>
      </c>
      <c r="H73" s="8" t="n">
        <v>2</v>
      </c>
      <c r="I73" s="8" t="n">
        <v>4</v>
      </c>
      <c r="J73" s="8" t="n">
        <v>3</v>
      </c>
      <c r="K73" s="8" t="n">
        <v>5</v>
      </c>
      <c r="L73" s="8" t="n">
        <v>4</v>
      </c>
      <c r="M73" s="8" t="n">
        <v>8</v>
      </c>
      <c r="N73" s="8" t="n">
        <v>5</v>
      </c>
      <c r="O73" s="8" t="n">
        <v>9</v>
      </c>
      <c r="R73" s="9">
        <f>F73*$AB73</f>
        <v/>
      </c>
      <c r="S73" s="9">
        <f>G73*$AC73</f>
        <v/>
      </c>
      <c r="T73" s="9">
        <f>H73*$AB73</f>
        <v/>
      </c>
      <c r="U73" s="9">
        <f>I73*$AC73</f>
        <v/>
      </c>
      <c r="V73" s="9">
        <f>J73*$AB73</f>
        <v/>
      </c>
      <c r="W73" s="9">
        <f>K73*$AC73</f>
        <v/>
      </c>
      <c r="X73" s="9">
        <f>L73*$AB73</f>
        <v/>
      </c>
      <c r="Y73" s="9">
        <f>M73*$AC73</f>
        <v/>
      </c>
      <c r="Z73" s="9">
        <f>N73*$AB73</f>
        <v/>
      </c>
      <c r="AA73" s="9">
        <f>O73*$AC73</f>
        <v/>
      </c>
      <c r="AB73" s="5">
        <f>VLOOKUP($E73,Tarifas!$B$4:$F$8,2,0)</f>
        <v/>
      </c>
      <c r="AC73" s="5">
        <f>VLOOKUP($E73,Tarifas!$B$4:$F$8,3,0)</f>
        <v/>
      </c>
    </row>
    <row r="74">
      <c r="A74" t="inlineStr">
        <is>
          <t>WEB-05</t>
        </is>
      </c>
      <c r="B74" t="inlineStr">
        <is>
          <t>Scrollytelling con 3D</t>
        </is>
      </c>
      <c r="C74" t="inlineStr">
        <is>
          <t>web-3d</t>
        </is>
      </c>
      <c r="D74" t="inlineStr">
        <is>
          <t>Perf movil + fallbacks estaticos</t>
        </is>
      </c>
      <c r="E74" t="inlineStr">
        <is>
          <t>RC-WEB</t>
        </is>
      </c>
      <c r="F74" s="8" t="n">
        <v>0</v>
      </c>
      <c r="G74" s="8" t="n">
        <v>0</v>
      </c>
      <c r="H74" s="8" t="n">
        <v>1</v>
      </c>
      <c r="I74" s="8" t="n">
        <v>3</v>
      </c>
      <c r="J74" s="8" t="n">
        <v>3</v>
      </c>
      <c r="K74" s="8" t="n">
        <v>6</v>
      </c>
      <c r="L74" s="8" t="n">
        <v>5</v>
      </c>
      <c r="M74" s="8" t="n">
        <v>10</v>
      </c>
      <c r="N74" s="8" t="n">
        <v>6</v>
      </c>
      <c r="O74" s="8" t="n">
        <v>12</v>
      </c>
      <c r="R74" s="9">
        <f>F74*$AB74</f>
        <v/>
      </c>
      <c r="S74" s="9">
        <f>G74*$AC74</f>
        <v/>
      </c>
      <c r="T74" s="9">
        <f>H74*$AB74</f>
        <v/>
      </c>
      <c r="U74" s="9">
        <f>I74*$AC74</f>
        <v/>
      </c>
      <c r="V74" s="9">
        <f>J74*$AB74</f>
        <v/>
      </c>
      <c r="W74" s="9">
        <f>K74*$AC74</f>
        <v/>
      </c>
      <c r="X74" s="9">
        <f>L74*$AB74</f>
        <v/>
      </c>
      <c r="Y74" s="9">
        <f>M74*$AC74</f>
        <v/>
      </c>
      <c r="Z74" s="9">
        <f>N74*$AB74</f>
        <v/>
      </c>
      <c r="AA74" s="9">
        <f>O74*$AC74</f>
        <v/>
      </c>
      <c r="AB74" s="5">
        <f>VLOOKUP($E74,Tarifas!$B$4:$F$8,2,0)</f>
        <v/>
      </c>
      <c r="AC74" s="5">
        <f>VLOOKUP($E74,Tarifas!$B$4:$F$8,3,0)</f>
        <v/>
      </c>
    </row>
    <row r="75">
      <c r="A75" t="inlineStr">
        <is>
          <t>WEB-05</t>
        </is>
      </c>
      <c r="B75" t="inlineStr">
        <is>
          <t>Scrollytelling con 3D</t>
        </is>
      </c>
      <c r="C75" t="inlineStr">
        <is>
          <t>web-3d</t>
        </is>
      </c>
      <c r="D75" t="inlineStr">
        <is>
          <t>QA dispositivos</t>
        </is>
      </c>
      <c r="E75" t="inlineStr">
        <is>
          <t>RC-WEB</t>
        </is>
      </c>
      <c r="F75" s="8" t="n">
        <v>0</v>
      </c>
      <c r="G75" s="8" t="n">
        <v>0</v>
      </c>
      <c r="H75" s="8" t="n">
        <v>1</v>
      </c>
      <c r="I75" s="8" t="n">
        <v>2</v>
      </c>
      <c r="J75" s="8" t="n">
        <v>2</v>
      </c>
      <c r="K75" s="8" t="n">
        <v>4</v>
      </c>
      <c r="L75" s="8" t="n">
        <v>3</v>
      </c>
      <c r="M75" s="8" t="n">
        <v>6</v>
      </c>
      <c r="N75" s="8" t="n">
        <v>4</v>
      </c>
      <c r="O75" s="8" t="n">
        <v>7</v>
      </c>
      <c r="R75" s="9">
        <f>F75*$AB75</f>
        <v/>
      </c>
      <c r="S75" s="9">
        <f>G75*$AC75</f>
        <v/>
      </c>
      <c r="T75" s="9">
        <f>H75*$AB75</f>
        <v/>
      </c>
      <c r="U75" s="9">
        <f>I75*$AC75</f>
        <v/>
      </c>
      <c r="V75" s="9">
        <f>J75*$AB75</f>
        <v/>
      </c>
      <c r="W75" s="9">
        <f>K75*$AC75</f>
        <v/>
      </c>
      <c r="X75" s="9">
        <f>L75*$AB75</f>
        <v/>
      </c>
      <c r="Y75" s="9">
        <f>M75*$AC75</f>
        <v/>
      </c>
      <c r="Z75" s="9">
        <f>N75*$AB75</f>
        <v/>
      </c>
      <c r="AA75" s="9">
        <f>O75*$AC75</f>
        <v/>
      </c>
      <c r="AB75" s="5">
        <f>VLOOKUP($E75,Tarifas!$B$4:$F$8,2,0)</f>
        <v/>
      </c>
      <c r="AC75" s="5">
        <f>VLOOKUP($E75,Tarifas!$B$4:$F$8,3,0)</f>
        <v/>
      </c>
    </row>
    <row r="76">
      <c r="A76" t="inlineStr">
        <is>
          <t>WEB-06</t>
        </is>
      </c>
      <c r="B76" t="inlineStr">
        <is>
          <t>Minijuego web</t>
        </is>
      </c>
      <c r="C76" t="inlineStr">
        <is>
          <t>web-3d</t>
        </is>
      </c>
      <c r="D76" t="inlineStr">
        <is>
          <t>Mini-GDD + prototipo mecanica</t>
        </is>
      </c>
      <c r="E76" t="inlineStr">
        <is>
          <t>RC-WEB</t>
        </is>
      </c>
      <c r="F76" s="8" t="n">
        <v>0</v>
      </c>
      <c r="G76" s="8" t="n">
        <v>0</v>
      </c>
      <c r="H76" s="8" t="n">
        <v>5</v>
      </c>
      <c r="I76" s="8" t="n">
        <v>10</v>
      </c>
      <c r="J76" s="8" t="n">
        <v>8</v>
      </c>
      <c r="K76" s="8" t="n">
        <v>16</v>
      </c>
      <c r="L76" s="8" t="n">
        <v>12</v>
      </c>
      <c r="M76" s="8" t="n">
        <v>24</v>
      </c>
      <c r="N76" s="8" t="n">
        <v>14</v>
      </c>
      <c r="O76" s="8" t="n">
        <v>28</v>
      </c>
      <c r="R76" s="9">
        <f>F76*$AB76</f>
        <v/>
      </c>
      <c r="S76" s="9">
        <f>G76*$AC76</f>
        <v/>
      </c>
      <c r="T76" s="9">
        <f>H76*$AB76</f>
        <v/>
      </c>
      <c r="U76" s="9">
        <f>I76*$AC76</f>
        <v/>
      </c>
      <c r="V76" s="9">
        <f>J76*$AB76</f>
        <v/>
      </c>
      <c r="W76" s="9">
        <f>K76*$AC76</f>
        <v/>
      </c>
      <c r="X76" s="9">
        <f>L76*$AB76</f>
        <v/>
      </c>
      <c r="Y76" s="9">
        <f>M76*$AC76</f>
        <v/>
      </c>
      <c r="Z76" s="9">
        <f>N76*$AB76</f>
        <v/>
      </c>
      <c r="AA76" s="9">
        <f>O76*$AC76</f>
        <v/>
      </c>
      <c r="AB76" s="5">
        <f>VLOOKUP($E76,Tarifas!$B$4:$F$8,2,0)</f>
        <v/>
      </c>
      <c r="AC76" s="5">
        <f>VLOOKUP($E76,Tarifas!$B$4:$F$8,3,0)</f>
        <v/>
      </c>
    </row>
    <row r="77">
      <c r="A77" t="inlineStr">
        <is>
          <t>WEB-06</t>
        </is>
      </c>
      <c r="B77" t="inlineStr">
        <is>
          <t>Minijuego web</t>
        </is>
      </c>
      <c r="C77" t="inlineStr">
        <is>
          <t>web-3d</t>
        </is>
      </c>
      <c r="D77" t="inlineStr">
        <is>
          <t>Implementacion gameplay + niveles</t>
        </is>
      </c>
      <c r="E77" t="inlineStr">
        <is>
          <t>RC-WEB</t>
        </is>
      </c>
      <c r="F77" s="8" t="n">
        <v>0</v>
      </c>
      <c r="G77" s="8" t="n">
        <v>0</v>
      </c>
      <c r="H77" s="8" t="n">
        <v>15</v>
      </c>
      <c r="I77" s="8" t="n">
        <v>35</v>
      </c>
      <c r="J77" s="8" t="n">
        <v>35</v>
      </c>
      <c r="K77" s="8" t="n">
        <v>70</v>
      </c>
      <c r="L77" s="8" t="n">
        <v>70</v>
      </c>
      <c r="M77" s="8" t="n">
        <v>130</v>
      </c>
      <c r="N77" s="8" t="n">
        <v>85</v>
      </c>
      <c r="O77" s="8" t="n">
        <v>156</v>
      </c>
      <c r="R77" s="9">
        <f>F77*$AB77</f>
        <v/>
      </c>
      <c r="S77" s="9">
        <f>G77*$AC77</f>
        <v/>
      </c>
      <c r="T77" s="9">
        <f>H77*$AB77</f>
        <v/>
      </c>
      <c r="U77" s="9">
        <f>I77*$AC77</f>
        <v/>
      </c>
      <c r="V77" s="9">
        <f>J77*$AB77</f>
        <v/>
      </c>
      <c r="W77" s="9">
        <f>K77*$AC77</f>
        <v/>
      </c>
      <c r="X77" s="9">
        <f>L77*$AB77</f>
        <v/>
      </c>
      <c r="Y77" s="9">
        <f>M77*$AC77</f>
        <v/>
      </c>
      <c r="Z77" s="9">
        <f>N77*$AB77</f>
        <v/>
      </c>
      <c r="AA77" s="9">
        <f>O77*$AC77</f>
        <v/>
      </c>
      <c r="AB77" s="5">
        <f>VLOOKUP($E77,Tarifas!$B$4:$F$8,2,0)</f>
        <v/>
      </c>
      <c r="AC77" s="5">
        <f>VLOOKUP($E77,Tarifas!$B$4:$F$8,3,0)</f>
        <v/>
      </c>
    </row>
    <row r="78">
      <c r="A78" t="inlineStr">
        <is>
          <t>WEB-06</t>
        </is>
      </c>
      <c r="B78" t="inlineStr">
        <is>
          <t>Minijuego web</t>
        </is>
      </c>
      <c r="C78" t="inlineStr">
        <is>
          <t>web-3d</t>
        </is>
      </c>
      <c r="D78" t="inlineStr">
        <is>
          <t>Game-feel, estados, pantalla inicio/fin</t>
        </is>
      </c>
      <c r="E78" t="inlineStr">
        <is>
          <t>RC-WEB</t>
        </is>
      </c>
      <c r="F78" s="8" t="n">
        <v>0</v>
      </c>
      <c r="G78" s="8" t="n">
        <v>0</v>
      </c>
      <c r="H78" s="8" t="n">
        <v>4</v>
      </c>
      <c r="I78" s="8" t="n">
        <v>8</v>
      </c>
      <c r="J78" s="8" t="n">
        <v>8</v>
      </c>
      <c r="K78" s="8" t="n">
        <v>16</v>
      </c>
      <c r="L78" s="8" t="n">
        <v>14</v>
      </c>
      <c r="M78" s="8" t="n">
        <v>26</v>
      </c>
      <c r="N78" s="8" t="n">
        <v>17</v>
      </c>
      <c r="O78" s="8" t="n">
        <v>31</v>
      </c>
      <c r="R78" s="9">
        <f>F78*$AB78</f>
        <v/>
      </c>
      <c r="S78" s="9">
        <f>G78*$AC78</f>
        <v/>
      </c>
      <c r="T78" s="9">
        <f>H78*$AB78</f>
        <v/>
      </c>
      <c r="U78" s="9">
        <f>I78*$AC78</f>
        <v/>
      </c>
      <c r="V78" s="9">
        <f>J78*$AB78</f>
        <v/>
      </c>
      <c r="W78" s="9">
        <f>K78*$AC78</f>
        <v/>
      </c>
      <c r="X78" s="9">
        <f>L78*$AB78</f>
        <v/>
      </c>
      <c r="Y78" s="9">
        <f>M78*$AC78</f>
        <v/>
      </c>
      <c r="Z78" s="9">
        <f>N78*$AB78</f>
        <v/>
      </c>
      <c r="AA78" s="9">
        <f>O78*$AC78</f>
        <v/>
      </c>
      <c r="AB78" s="5">
        <f>VLOOKUP($E78,Tarifas!$B$4:$F$8,2,0)</f>
        <v/>
      </c>
      <c r="AC78" s="5">
        <f>VLOOKUP($E78,Tarifas!$B$4:$F$8,3,0)</f>
        <v/>
      </c>
    </row>
    <row r="79">
      <c r="A79" t="inlineStr">
        <is>
          <t>WEB-06</t>
        </is>
      </c>
      <c r="B79" t="inlineStr">
        <is>
          <t>Minijuego web</t>
        </is>
      </c>
      <c r="C79" t="inlineStr">
        <is>
          <t>web-3d</t>
        </is>
      </c>
      <c r="D79" t="inlineStr">
        <is>
          <t>QA dispositivos + controles tactiles</t>
        </is>
      </c>
      <c r="E79" t="inlineStr">
        <is>
          <t>RC-WEB</t>
        </is>
      </c>
      <c r="F79" s="8" t="n">
        <v>0</v>
      </c>
      <c r="G79" s="8" t="n">
        <v>0</v>
      </c>
      <c r="H79" s="8" t="n">
        <v>1</v>
      </c>
      <c r="I79" s="8" t="n">
        <v>2</v>
      </c>
      <c r="J79" s="8" t="n">
        <v>4</v>
      </c>
      <c r="K79" s="8" t="n">
        <v>8</v>
      </c>
      <c r="L79" s="8" t="n">
        <v>6</v>
      </c>
      <c r="M79" s="8" t="n">
        <v>12</v>
      </c>
      <c r="N79" s="8" t="n">
        <v>7</v>
      </c>
      <c r="O79" s="8" t="n">
        <v>14</v>
      </c>
      <c r="R79" s="9">
        <f>F79*$AB79</f>
        <v/>
      </c>
      <c r="S79" s="9">
        <f>G79*$AC79</f>
        <v/>
      </c>
      <c r="T79" s="9">
        <f>H79*$AB79</f>
        <v/>
      </c>
      <c r="U79" s="9">
        <f>I79*$AC79</f>
        <v/>
      </c>
      <c r="V79" s="9">
        <f>J79*$AB79</f>
        <v/>
      </c>
      <c r="W79" s="9">
        <f>K79*$AC79</f>
        <v/>
      </c>
      <c r="X79" s="9">
        <f>L79*$AB79</f>
        <v/>
      </c>
      <c r="Y79" s="9">
        <f>M79*$AC79</f>
        <v/>
      </c>
      <c r="Z79" s="9">
        <f>N79*$AB79</f>
        <v/>
      </c>
      <c r="AA79" s="9">
        <f>O79*$AC79</f>
        <v/>
      </c>
      <c r="AB79" s="5">
        <f>VLOOKUP($E79,Tarifas!$B$4:$F$8,2,0)</f>
        <v/>
      </c>
      <c r="AC79" s="5">
        <f>VLOOKUP($E79,Tarifas!$B$4:$F$8,3,0)</f>
        <v/>
      </c>
    </row>
    <row r="80">
      <c r="A80" t="inlineStr">
        <is>
          <t>WEB-07</t>
        </is>
      </c>
      <c r="B80" t="inlineStr">
        <is>
          <t>Catalogo interactivo 3D</t>
        </is>
      </c>
      <c r="C80" t="inlineStr">
        <is>
          <t>web-3d</t>
        </is>
      </c>
      <c r="D80" t="inlineStr">
        <is>
          <t>Visor 3D compartido + pipeline carga</t>
        </is>
      </c>
      <c r="E80" t="inlineStr">
        <is>
          <t>RC-WEB</t>
        </is>
      </c>
      <c r="F80" s="8" t="n">
        <v>0</v>
      </c>
      <c r="G80" s="8" t="n">
        <v>0</v>
      </c>
      <c r="H80" s="8" t="n">
        <v>8</v>
      </c>
      <c r="I80" s="8" t="n">
        <v>18</v>
      </c>
      <c r="J80" s="8" t="n">
        <v>14</v>
      </c>
      <c r="K80" s="8" t="n">
        <v>32</v>
      </c>
      <c r="L80" s="8" t="n">
        <v>24</v>
      </c>
      <c r="M80" s="8" t="n">
        <v>50</v>
      </c>
      <c r="N80" s="8" t="n">
        <v>28</v>
      </c>
      <c r="O80" s="8" t="n">
        <v>58</v>
      </c>
      <c r="R80" s="9">
        <f>F80*$AB80</f>
        <v/>
      </c>
      <c r="S80" s="9">
        <f>G80*$AC80</f>
        <v/>
      </c>
      <c r="T80" s="9">
        <f>H80*$AB80</f>
        <v/>
      </c>
      <c r="U80" s="9">
        <f>I80*$AC80</f>
        <v/>
      </c>
      <c r="V80" s="9">
        <f>J80*$AB80</f>
        <v/>
      </c>
      <c r="W80" s="9">
        <f>K80*$AC80</f>
        <v/>
      </c>
      <c r="X80" s="9">
        <f>L80*$AB80</f>
        <v/>
      </c>
      <c r="Y80" s="9">
        <f>M80*$AC80</f>
        <v/>
      </c>
      <c r="Z80" s="9">
        <f>N80*$AB80</f>
        <v/>
      </c>
      <c r="AA80" s="9">
        <f>O80*$AC80</f>
        <v/>
      </c>
      <c r="AB80" s="5">
        <f>VLOOKUP($E80,Tarifas!$B$4:$F$8,2,0)</f>
        <v/>
      </c>
      <c r="AC80" s="5">
        <f>VLOOKUP($E80,Tarifas!$B$4:$F$8,3,0)</f>
        <v/>
      </c>
    </row>
    <row r="81">
      <c r="A81" t="inlineStr">
        <is>
          <t>WEB-07</t>
        </is>
      </c>
      <c r="B81" t="inlineStr">
        <is>
          <t>Catalogo interactivo 3D</t>
        </is>
      </c>
      <c r="C81" t="inlineStr">
        <is>
          <t>web-3d</t>
        </is>
      </c>
      <c r="D81" t="inlineStr">
        <is>
          <t>Fichas + plantillas producto</t>
        </is>
      </c>
      <c r="E81" t="inlineStr">
        <is>
          <t>RC-WEB</t>
        </is>
      </c>
      <c r="F81" s="8" t="n">
        <v>0</v>
      </c>
      <c r="G81" s="8" t="n">
        <v>0</v>
      </c>
      <c r="H81" s="8" t="n">
        <v>6</v>
      </c>
      <c r="I81" s="8" t="n">
        <v>14</v>
      </c>
      <c r="J81" s="8" t="n">
        <v>12</v>
      </c>
      <c r="K81" s="8" t="n">
        <v>26</v>
      </c>
      <c r="L81" s="8" t="n">
        <v>24</v>
      </c>
      <c r="M81" s="8" t="n">
        <v>48</v>
      </c>
      <c r="N81" s="8" t="n">
        <v>29</v>
      </c>
      <c r="O81" s="8" t="n">
        <v>56</v>
      </c>
      <c r="R81" s="9">
        <f>F81*$AB81</f>
        <v/>
      </c>
      <c r="S81" s="9">
        <f>G81*$AC81</f>
        <v/>
      </c>
      <c r="T81" s="9">
        <f>H81*$AB81</f>
        <v/>
      </c>
      <c r="U81" s="9">
        <f>I81*$AC81</f>
        <v/>
      </c>
      <c r="V81" s="9">
        <f>J81*$AB81</f>
        <v/>
      </c>
      <c r="W81" s="9">
        <f>K81*$AC81</f>
        <v/>
      </c>
      <c r="X81" s="9">
        <f>L81*$AB81</f>
        <v/>
      </c>
      <c r="Y81" s="9">
        <f>M81*$AC81</f>
        <v/>
      </c>
      <c r="Z81" s="9">
        <f>N81*$AB81</f>
        <v/>
      </c>
      <c r="AA81" s="9">
        <f>O81*$AC81</f>
        <v/>
      </c>
      <c r="AB81" s="5">
        <f>VLOOKUP($E81,Tarifas!$B$4:$F$8,2,0)</f>
        <v/>
      </c>
      <c r="AC81" s="5">
        <f>VLOOKUP($E81,Tarifas!$B$4:$F$8,3,0)</f>
        <v/>
      </c>
    </row>
    <row r="82">
      <c r="A82" t="inlineStr">
        <is>
          <t>WEB-07</t>
        </is>
      </c>
      <c r="B82" t="inlineStr">
        <is>
          <t>Catalogo interactivo 3D</t>
        </is>
      </c>
      <c r="C82" t="inlineStr">
        <is>
          <t>web-3d</t>
        </is>
      </c>
      <c r="D82" t="inlineStr">
        <is>
          <t>Filtros/busqueda/variantes SKU</t>
        </is>
      </c>
      <c r="E82" t="inlineStr">
        <is>
          <t>RC-WEB</t>
        </is>
      </c>
      <c r="F82" s="8" t="n">
        <v>0</v>
      </c>
      <c r="G82" s="8" t="n">
        <v>0</v>
      </c>
      <c r="H82" s="8" t="n">
        <v>3</v>
      </c>
      <c r="I82" s="8" t="n">
        <v>8</v>
      </c>
      <c r="J82" s="8" t="n">
        <v>10</v>
      </c>
      <c r="K82" s="8" t="n">
        <v>20</v>
      </c>
      <c r="L82" s="8" t="n">
        <v>24</v>
      </c>
      <c r="M82" s="8" t="n">
        <v>44</v>
      </c>
      <c r="N82" s="8" t="n">
        <v>29</v>
      </c>
      <c r="O82" s="8" t="n">
        <v>51</v>
      </c>
      <c r="R82" s="9">
        <f>F82*$AB82</f>
        <v/>
      </c>
      <c r="S82" s="9">
        <f>G82*$AC82</f>
        <v/>
      </c>
      <c r="T82" s="9">
        <f>H82*$AB82</f>
        <v/>
      </c>
      <c r="U82" s="9">
        <f>I82*$AC82</f>
        <v/>
      </c>
      <c r="V82" s="9">
        <f>J82*$AB82</f>
        <v/>
      </c>
      <c r="W82" s="9">
        <f>K82*$AC82</f>
        <v/>
      </c>
      <c r="X82" s="9">
        <f>L82*$AB82</f>
        <v/>
      </c>
      <c r="Y82" s="9">
        <f>M82*$AC82</f>
        <v/>
      </c>
      <c r="Z82" s="9">
        <f>N82*$AB82</f>
        <v/>
      </c>
      <c r="AA82" s="9">
        <f>O82*$AC82</f>
        <v/>
      </c>
      <c r="AB82" s="5">
        <f>VLOOKUP($E82,Tarifas!$B$4:$F$8,2,0)</f>
        <v/>
      </c>
      <c r="AC82" s="5">
        <f>VLOOKUP($E82,Tarifas!$B$4:$F$8,3,0)</f>
        <v/>
      </c>
    </row>
    <row r="83">
      <c r="A83" t="inlineStr">
        <is>
          <t>WEB-07</t>
        </is>
      </c>
      <c r="B83" t="inlineStr">
        <is>
          <t>Catalogo interactivo 3D</t>
        </is>
      </c>
      <c r="C83" t="inlineStr">
        <is>
          <t>web-3d</t>
        </is>
      </c>
      <c r="D83" t="inlineStr">
        <is>
          <t>Gestion datos JSON/CMS-lite</t>
        </is>
      </c>
      <c r="E83" t="inlineStr">
        <is>
          <t>RC-WEB</t>
        </is>
      </c>
      <c r="F83" s="8" t="n">
        <v>0</v>
      </c>
      <c r="G83" s="8" t="n">
        <v>0</v>
      </c>
      <c r="H83" s="8" t="n">
        <v>1</v>
      </c>
      <c r="I83" s="8" t="n">
        <v>2</v>
      </c>
      <c r="J83" s="8" t="n">
        <v>4</v>
      </c>
      <c r="K83" s="8" t="n">
        <v>7</v>
      </c>
      <c r="L83" s="8" t="n">
        <v>13</v>
      </c>
      <c r="M83" s="8" t="n">
        <v>18</v>
      </c>
      <c r="N83" s="8" t="n">
        <v>16</v>
      </c>
      <c r="O83" s="8" t="n">
        <v>21</v>
      </c>
      <c r="R83" s="9">
        <f>F83*$AB83</f>
        <v/>
      </c>
      <c r="S83" s="9">
        <f>G83*$AC83</f>
        <v/>
      </c>
      <c r="T83" s="9">
        <f>H83*$AB83</f>
        <v/>
      </c>
      <c r="U83" s="9">
        <f>I83*$AC83</f>
        <v/>
      </c>
      <c r="V83" s="9">
        <f>J83*$AB83</f>
        <v/>
      </c>
      <c r="W83" s="9">
        <f>K83*$AC83</f>
        <v/>
      </c>
      <c r="X83" s="9">
        <f>L83*$AB83</f>
        <v/>
      </c>
      <c r="Y83" s="9">
        <f>M83*$AC83</f>
        <v/>
      </c>
      <c r="Z83" s="9">
        <f>N83*$AB83</f>
        <v/>
      </c>
      <c r="AA83" s="9">
        <f>O83*$AC83</f>
        <v/>
      </c>
      <c r="AB83" s="5">
        <f>VLOOKUP($E83,Tarifas!$B$4:$F$8,2,0)</f>
        <v/>
      </c>
      <c r="AC83" s="5">
        <f>VLOOKUP($E83,Tarifas!$B$4:$F$8,3,0)</f>
        <v/>
      </c>
    </row>
    <row r="84">
      <c r="A84" t="inlineStr">
        <is>
          <t>WEB-08</t>
        </is>
      </c>
      <c r="B84" t="inlineStr">
        <is>
          <t>Presentacion web interactiva</t>
        </is>
      </c>
      <c r="C84" t="inlineStr">
        <is>
          <t>web-3d</t>
        </is>
      </c>
      <c r="D84" t="inlineStr">
        <is>
          <t>Slides + plantilla visual</t>
        </is>
      </c>
      <c r="E84" t="inlineStr">
        <is>
          <t>RC-WEB</t>
        </is>
      </c>
      <c r="F84" s="8" t="n">
        <v>0</v>
      </c>
      <c r="G84" s="8" t="n">
        <v>0</v>
      </c>
      <c r="H84" s="8" t="n">
        <v>6</v>
      </c>
      <c r="I84" s="8" t="n">
        <v>12</v>
      </c>
      <c r="J84" s="8" t="n">
        <v>10</v>
      </c>
      <c r="K84" s="8" t="n">
        <v>20</v>
      </c>
      <c r="L84" s="8" t="n">
        <v>16</v>
      </c>
      <c r="M84" s="8" t="n">
        <v>30</v>
      </c>
      <c r="N84" s="8" t="n">
        <v>19</v>
      </c>
      <c r="O84" s="8" t="n">
        <v>35</v>
      </c>
      <c r="R84" s="9">
        <f>F84*$AB84</f>
        <v/>
      </c>
      <c r="S84" s="9">
        <f>G84*$AC84</f>
        <v/>
      </c>
      <c r="T84" s="9">
        <f>H84*$AB84</f>
        <v/>
      </c>
      <c r="U84" s="9">
        <f>I84*$AC84</f>
        <v/>
      </c>
      <c r="V84" s="9">
        <f>J84*$AB84</f>
        <v/>
      </c>
      <c r="W84" s="9">
        <f>K84*$AC84</f>
        <v/>
      </c>
      <c r="X84" s="9">
        <f>L84*$AB84</f>
        <v/>
      </c>
      <c r="Y84" s="9">
        <f>M84*$AC84</f>
        <v/>
      </c>
      <c r="Z84" s="9">
        <f>N84*$AB84</f>
        <v/>
      </c>
      <c r="AA84" s="9">
        <f>O84*$AC84</f>
        <v/>
      </c>
      <c r="AB84" s="5">
        <f>VLOOKUP($E84,Tarifas!$B$4:$F$8,2,0)</f>
        <v/>
      </c>
      <c r="AC84" s="5">
        <f>VLOOKUP($E84,Tarifas!$B$4:$F$8,3,0)</f>
        <v/>
      </c>
    </row>
    <row r="85">
      <c r="A85" t="inlineStr">
        <is>
          <t>WEB-08</t>
        </is>
      </c>
      <c r="B85" t="inlineStr">
        <is>
          <t>Presentacion web interactiva</t>
        </is>
      </c>
      <c r="C85" t="inlineStr">
        <is>
          <t>web-3d</t>
        </is>
      </c>
      <c r="D85" t="inlineStr">
        <is>
          <t>Navegacion (lineal/no lineal) + media</t>
        </is>
      </c>
      <c r="E85" t="inlineStr">
        <is>
          <t>RC-WEB</t>
        </is>
      </c>
      <c r="F85" s="8" t="n">
        <v>0</v>
      </c>
      <c r="G85" s="8" t="n">
        <v>0</v>
      </c>
      <c r="H85" s="8" t="n">
        <v>1</v>
      </c>
      <c r="I85" s="8" t="n">
        <v>4</v>
      </c>
      <c r="J85" s="8" t="n">
        <v>5</v>
      </c>
      <c r="K85" s="8" t="n">
        <v>9</v>
      </c>
      <c r="L85" s="8" t="n">
        <v>10</v>
      </c>
      <c r="M85" s="8" t="n">
        <v>18</v>
      </c>
      <c r="N85" s="8" t="n">
        <v>12</v>
      </c>
      <c r="O85" s="8" t="n">
        <v>21</v>
      </c>
      <c r="R85" s="9">
        <f>F85*$AB85</f>
        <v/>
      </c>
      <c r="S85" s="9">
        <f>G85*$AC85</f>
        <v/>
      </c>
      <c r="T85" s="9">
        <f>H85*$AB85</f>
        <v/>
      </c>
      <c r="U85" s="9">
        <f>I85*$AC85</f>
        <v/>
      </c>
      <c r="V85" s="9">
        <f>J85*$AB85</f>
        <v/>
      </c>
      <c r="W85" s="9">
        <f>K85*$AC85</f>
        <v/>
      </c>
      <c r="X85" s="9">
        <f>L85*$AB85</f>
        <v/>
      </c>
      <c r="Y85" s="9">
        <f>M85*$AC85</f>
        <v/>
      </c>
      <c r="Z85" s="9">
        <f>N85*$AB85</f>
        <v/>
      </c>
      <c r="AA85" s="9">
        <f>O85*$AC85</f>
        <v/>
      </c>
      <c r="AB85" s="5">
        <f>VLOOKUP($E85,Tarifas!$B$4:$F$8,2,0)</f>
        <v/>
      </c>
      <c r="AC85" s="5">
        <f>VLOOKUP($E85,Tarifas!$B$4:$F$8,3,0)</f>
        <v/>
      </c>
    </row>
    <row r="86">
      <c r="A86" t="inlineStr">
        <is>
          <t>WEB-08</t>
        </is>
      </c>
      <c r="B86" t="inlineStr">
        <is>
          <t>Presentacion web interactiva</t>
        </is>
      </c>
      <c r="C86" t="inlineStr">
        <is>
          <t>web-3d</t>
        </is>
      </c>
      <c r="D86" t="inlineStr">
        <is>
          <t>Datos vivos/filtros tiempo real (L+)</t>
        </is>
      </c>
      <c r="E86" t="inlineStr">
        <is>
          <t>RC-WEB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9</v>
      </c>
      <c r="M86" s="8" t="n">
        <v>12</v>
      </c>
      <c r="N86" s="8" t="n">
        <v>11</v>
      </c>
      <c r="O86" s="8" t="n">
        <v>14</v>
      </c>
      <c r="R86" s="9">
        <f>F86*$AB86</f>
        <v/>
      </c>
      <c r="S86" s="9">
        <f>G86*$AC86</f>
        <v/>
      </c>
      <c r="T86" s="9">
        <f>H86*$AB86</f>
        <v/>
      </c>
      <c r="U86" s="9">
        <f>I86*$AC86</f>
        <v/>
      </c>
      <c r="V86" s="9">
        <f>J86*$AB86</f>
        <v/>
      </c>
      <c r="W86" s="9">
        <f>K86*$AC86</f>
        <v/>
      </c>
      <c r="X86" s="9">
        <f>L86*$AB86</f>
        <v/>
      </c>
      <c r="Y86" s="9">
        <f>M86*$AC86</f>
        <v/>
      </c>
      <c r="Z86" s="9">
        <f>N86*$AB86</f>
        <v/>
      </c>
      <c r="AA86" s="9">
        <f>O86*$AC86</f>
        <v/>
      </c>
      <c r="AB86" s="5">
        <f>VLOOKUP($E86,Tarifas!$B$4:$F$8,2,0)</f>
        <v/>
      </c>
      <c r="AC86" s="5">
        <f>VLOOKUP($E86,Tarifas!$B$4:$F$8,3,0)</f>
        <v/>
      </c>
    </row>
    <row r="87">
      <c r="A87" t="inlineStr">
        <is>
          <t>AI-02</t>
        </is>
      </c>
      <c r="B87" t="inlineStr">
        <is>
          <t>IA indirecta en producto web</t>
        </is>
      </c>
      <c r="C87" t="inlineStr">
        <is>
          <t>ia</t>
        </is>
      </c>
      <c r="D87" t="inlineStr">
        <is>
          <t>Feature IA base (busqueda semantica/recomendador)</t>
        </is>
      </c>
      <c r="E87" t="inlineStr">
        <is>
          <t>RC-AI</t>
        </is>
      </c>
      <c r="F87" s="8" t="n">
        <v>0</v>
      </c>
      <c r="G87" s="8" t="n">
        <v>0</v>
      </c>
      <c r="H87" s="8" t="n">
        <v>10</v>
      </c>
      <c r="I87" s="8" t="n">
        <v>24</v>
      </c>
      <c r="J87" s="8" t="n">
        <v>10</v>
      </c>
      <c r="K87" s="8" t="n">
        <v>24</v>
      </c>
      <c r="L87" s="8" t="n">
        <v>10</v>
      </c>
      <c r="M87" s="8" t="n">
        <v>24</v>
      </c>
      <c r="N87" s="8" t="n">
        <v>10</v>
      </c>
      <c r="O87" s="8" t="n">
        <v>24</v>
      </c>
      <c r="R87" s="9">
        <f>F87*$AB87</f>
        <v/>
      </c>
      <c r="S87" s="9">
        <f>G87*$AC87</f>
        <v/>
      </c>
      <c r="T87" s="9">
        <f>H87*$AB87</f>
        <v/>
      </c>
      <c r="U87" s="9">
        <f>I87*$AC87</f>
        <v/>
      </c>
      <c r="V87" s="9">
        <f>J87*$AB87</f>
        <v/>
      </c>
      <c r="W87" s="9">
        <f>K87*$AC87</f>
        <v/>
      </c>
      <c r="X87" s="9">
        <f>L87*$AB87</f>
        <v/>
      </c>
      <c r="Y87" s="9">
        <f>M87*$AC87</f>
        <v/>
      </c>
      <c r="Z87" s="9">
        <f>N87*$AB87</f>
        <v/>
      </c>
      <c r="AA87" s="9">
        <f>O87*$AC87</f>
        <v/>
      </c>
      <c r="AB87" s="5">
        <f>VLOOKUP($E87,Tarifas!$B$4:$F$8,2,0)</f>
        <v/>
      </c>
      <c r="AC87" s="5">
        <f>VLOOKUP($E87,Tarifas!$B$4:$F$8,3,0)</f>
        <v/>
      </c>
    </row>
    <row r="88">
      <c r="A88" t="inlineStr">
        <is>
          <t>AI-02</t>
        </is>
      </c>
      <c r="B88" t="inlineStr">
        <is>
          <t>IA indirecta en producto web</t>
        </is>
      </c>
      <c r="C88" t="inlineStr">
        <is>
          <t>ia</t>
        </is>
      </c>
      <c r="D88" t="inlineStr">
        <is>
          <t>Features adicionales integradas</t>
        </is>
      </c>
      <c r="E88" t="inlineStr">
        <is>
          <t>RC-AI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12</v>
      </c>
      <c r="K88" s="8" t="n">
        <v>30</v>
      </c>
      <c r="L88" s="8" t="n">
        <v>24</v>
      </c>
      <c r="M88" s="8" t="n">
        <v>60</v>
      </c>
      <c r="N88" s="8" t="n">
        <v>30</v>
      </c>
      <c r="O88" s="8" t="n">
        <v>72</v>
      </c>
      <c r="R88" s="9">
        <f>F88*$AB88</f>
        <v/>
      </c>
      <c r="S88" s="9">
        <f>G88*$AC88</f>
        <v/>
      </c>
      <c r="T88" s="9">
        <f>H88*$AB88</f>
        <v/>
      </c>
      <c r="U88" s="9">
        <f>I88*$AC88</f>
        <v/>
      </c>
      <c r="V88" s="9">
        <f>J88*$AB88</f>
        <v/>
      </c>
      <c r="W88" s="9">
        <f>K88*$AC88</f>
        <v/>
      </c>
      <c r="X88" s="9">
        <f>L88*$AB88</f>
        <v/>
      </c>
      <c r="Y88" s="9">
        <f>M88*$AC88</f>
        <v/>
      </c>
      <c r="Z88" s="9">
        <f>N88*$AB88</f>
        <v/>
      </c>
      <c r="AA88" s="9">
        <f>O88*$AC88</f>
        <v/>
      </c>
      <c r="AB88" s="5">
        <f>VLOOKUP($E88,Tarifas!$B$4:$F$8,2,0)</f>
        <v/>
      </c>
      <c r="AC88" s="5">
        <f>VLOOKUP($E88,Tarifas!$B$4:$F$8,3,0)</f>
        <v/>
      </c>
    </row>
    <row r="89">
      <c r="A89" t="inlineStr">
        <is>
          <t>AI-02</t>
        </is>
      </c>
      <c r="B89" t="inlineStr">
        <is>
          <t>IA indirecta en producto web</t>
        </is>
      </c>
      <c r="C89" t="inlineStr">
        <is>
          <t>ia</t>
        </is>
      </c>
      <c r="D89" t="inlineStr">
        <is>
          <t>Panel de control ligero</t>
        </is>
      </c>
      <c r="E89" t="inlineStr">
        <is>
          <t>RC-AI</t>
        </is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8</v>
      </c>
      <c r="M89" s="8" t="n">
        <v>16</v>
      </c>
      <c r="N89" s="8" t="n">
        <v>10</v>
      </c>
      <c r="O89" s="8" t="n">
        <v>19</v>
      </c>
      <c r="R89" s="9">
        <f>F89*$AB89</f>
        <v/>
      </c>
      <c r="S89" s="9">
        <f>G89*$AC89</f>
        <v/>
      </c>
      <c r="T89" s="9">
        <f>H89*$AB89</f>
        <v/>
      </c>
      <c r="U89" s="9">
        <f>I89*$AC89</f>
        <v/>
      </c>
      <c r="V89" s="9">
        <f>J89*$AB89</f>
        <v/>
      </c>
      <c r="W89" s="9">
        <f>K89*$AC89</f>
        <v/>
      </c>
      <c r="X89" s="9">
        <f>L89*$AB89</f>
        <v/>
      </c>
      <c r="Y89" s="9">
        <f>M89*$AC89</f>
        <v/>
      </c>
      <c r="Z89" s="9">
        <f>N89*$AB89</f>
        <v/>
      </c>
      <c r="AA89" s="9">
        <f>O89*$AC89</f>
        <v/>
      </c>
      <c r="AB89" s="5">
        <f>VLOOKUP($E89,Tarifas!$B$4:$F$8,2,0)</f>
        <v/>
      </c>
      <c r="AC89" s="5">
        <f>VLOOKUP($E89,Tarifas!$B$4:$F$8,3,0)</f>
        <v/>
      </c>
    </row>
    <row r="90">
      <c r="A90" t="inlineStr">
        <is>
          <t>AI-03</t>
        </is>
      </c>
      <c r="B90" t="inlineStr">
        <is>
          <t>Automatizacion interna con LLM</t>
        </is>
      </c>
      <c r="C90" t="inlineStr">
        <is>
          <t>ia</t>
        </is>
      </c>
      <c r="D90" t="inlineStr">
        <is>
          <t>Discovery fijo del proceso</t>
        </is>
      </c>
      <c r="E90" t="inlineStr">
        <is>
          <t>RC-CON</t>
        </is>
      </c>
      <c r="F90" s="8" t="n">
        <v>0</v>
      </c>
      <c r="G90" s="8" t="n">
        <v>0</v>
      </c>
      <c r="H90" s="8" t="n">
        <v>4</v>
      </c>
      <c r="I90" s="8" t="n">
        <v>8</v>
      </c>
      <c r="J90" s="8" t="n">
        <v>4</v>
      </c>
      <c r="K90" s="8" t="n">
        <v>8</v>
      </c>
      <c r="L90" s="8" t="n">
        <v>8</v>
      </c>
      <c r="M90" s="8" t="n">
        <v>16</v>
      </c>
      <c r="N90" s="8" t="n">
        <v>9</v>
      </c>
      <c r="O90" s="8" t="n">
        <v>18</v>
      </c>
      <c r="R90" s="9">
        <f>F90*$AB90</f>
        <v/>
      </c>
      <c r="S90" s="9">
        <f>G90*$AC90</f>
        <v/>
      </c>
      <c r="T90" s="9">
        <f>H90*$AB90</f>
        <v/>
      </c>
      <c r="U90" s="9">
        <f>I90*$AC90</f>
        <v/>
      </c>
      <c r="V90" s="9">
        <f>J90*$AB90</f>
        <v/>
      </c>
      <c r="W90" s="9">
        <f>K90*$AC90</f>
        <v/>
      </c>
      <c r="X90" s="9">
        <f>L90*$AB90</f>
        <v/>
      </c>
      <c r="Y90" s="9">
        <f>M90*$AC90</f>
        <v/>
      </c>
      <c r="Z90" s="9">
        <f>N90*$AB90</f>
        <v/>
      </c>
      <c r="AA90" s="9">
        <f>O90*$AC90</f>
        <v/>
      </c>
      <c r="AB90" s="5">
        <f>VLOOKUP($E90,Tarifas!$B$4:$F$8,2,0)</f>
        <v/>
      </c>
      <c r="AC90" s="5">
        <f>VLOOKUP($E90,Tarifas!$B$4:$F$8,3,0)</f>
        <v/>
      </c>
    </row>
    <row r="91">
      <c r="A91" t="inlineStr">
        <is>
          <t>AI-03</t>
        </is>
      </c>
      <c r="B91" t="inlineStr">
        <is>
          <t>Automatizacion interna con LLM</t>
        </is>
      </c>
      <c r="C91" t="inlineStr">
        <is>
          <t>ia</t>
        </is>
      </c>
      <c r="D91" t="inlineStr">
        <is>
          <t>Implementacion workflow(s)</t>
        </is>
      </c>
      <c r="E91" t="inlineStr">
        <is>
          <t>RC-AI</t>
        </is>
      </c>
      <c r="F91" s="8" t="n">
        <v>0</v>
      </c>
      <c r="G91" s="8" t="n">
        <v>0</v>
      </c>
      <c r="H91" s="8" t="n">
        <v>20</v>
      </c>
      <c r="I91" s="8" t="n">
        <v>45</v>
      </c>
      <c r="J91" s="8" t="n">
        <v>45</v>
      </c>
      <c r="K91" s="8" t="n">
        <v>85</v>
      </c>
      <c r="L91" s="8" t="n">
        <v>85</v>
      </c>
      <c r="M91" s="8" t="n">
        <v>150</v>
      </c>
      <c r="N91" s="8" t="n">
        <v>100</v>
      </c>
      <c r="O91" s="8" t="n">
        <v>170</v>
      </c>
      <c r="R91" s="9">
        <f>F91*$AB91</f>
        <v/>
      </c>
      <c r="S91" s="9">
        <f>G91*$AC91</f>
        <v/>
      </c>
      <c r="T91" s="9">
        <f>H91*$AB91</f>
        <v/>
      </c>
      <c r="U91" s="9">
        <f>I91*$AC91</f>
        <v/>
      </c>
      <c r="V91" s="9">
        <f>J91*$AB91</f>
        <v/>
      </c>
      <c r="W91" s="9">
        <f>K91*$AC91</f>
        <v/>
      </c>
      <c r="X91" s="9">
        <f>L91*$AB91</f>
        <v/>
      </c>
      <c r="Y91" s="9">
        <f>M91*$AC91</f>
        <v/>
      </c>
      <c r="Z91" s="9">
        <f>N91*$AB91</f>
        <v/>
      </c>
      <c r="AA91" s="9">
        <f>O91*$AC91</f>
        <v/>
      </c>
      <c r="AB91" s="5">
        <f>VLOOKUP($E91,Tarifas!$B$4:$F$8,2,0)</f>
        <v/>
      </c>
      <c r="AC91" s="5">
        <f>VLOOKUP($E91,Tarifas!$B$4:$F$8,3,0)</f>
        <v/>
      </c>
    </row>
    <row r="92">
      <c r="A92" t="inlineStr">
        <is>
          <t>AI-03</t>
        </is>
      </c>
      <c r="B92" t="inlineStr">
        <is>
          <t>Automatizacion interna con LLM</t>
        </is>
      </c>
      <c r="C92" t="inlineStr">
        <is>
          <t>ia</t>
        </is>
      </c>
      <c r="D92" t="inlineStr">
        <is>
          <t>Pruebas con datos reales + capacitacion</t>
        </is>
      </c>
      <c r="E92" t="inlineStr">
        <is>
          <t>RC-AI</t>
        </is>
      </c>
      <c r="F92" s="8" t="n">
        <v>0</v>
      </c>
      <c r="G92" s="8" t="n">
        <v>0</v>
      </c>
      <c r="H92" s="8" t="n">
        <v>3</v>
      </c>
      <c r="I92" s="8" t="n">
        <v>6</v>
      </c>
      <c r="J92" s="8" t="n">
        <v>5</v>
      </c>
      <c r="K92" s="8" t="n">
        <v>10</v>
      </c>
      <c r="L92" s="8" t="n">
        <v>8</v>
      </c>
      <c r="M92" s="8" t="n">
        <v>14</v>
      </c>
      <c r="N92" s="8" t="n">
        <v>9</v>
      </c>
      <c r="O92" s="8" t="n">
        <v>16</v>
      </c>
      <c r="R92" s="9">
        <f>F92*$AB92</f>
        <v/>
      </c>
      <c r="S92" s="9">
        <f>G92*$AC92</f>
        <v/>
      </c>
      <c r="T92" s="9">
        <f>H92*$AB92</f>
        <v/>
      </c>
      <c r="U92" s="9">
        <f>I92*$AC92</f>
        <v/>
      </c>
      <c r="V92" s="9">
        <f>J92*$AB92</f>
        <v/>
      </c>
      <c r="W92" s="9">
        <f>K92*$AC92</f>
        <v/>
      </c>
      <c r="X92" s="9">
        <f>L92*$AB92</f>
        <v/>
      </c>
      <c r="Y92" s="9">
        <f>M92*$AC92</f>
        <v/>
      </c>
      <c r="Z92" s="9">
        <f>N92*$AB92</f>
        <v/>
      </c>
      <c r="AA92" s="9">
        <f>O92*$AC92</f>
        <v/>
      </c>
      <c r="AB92" s="5">
        <f>VLOOKUP($E92,Tarifas!$B$4:$F$8,2,0)</f>
        <v/>
      </c>
      <c r="AC92" s="5">
        <f>VLOOKUP($E92,Tarifas!$B$4:$F$8,3,0)</f>
        <v/>
      </c>
    </row>
    <row r="93">
      <c r="A93" t="inlineStr">
        <is>
          <t>AI-04</t>
        </is>
      </c>
      <c r="B93" t="inlineStr">
        <is>
          <t>Consultoria y auditoria de IA</t>
        </is>
      </c>
      <c r="C93" t="inlineStr">
        <is>
          <t>ia</t>
        </is>
      </c>
      <c r="D93" t="inlineStr">
        <is>
          <t>Auditoria express (1 proceso/departamento)</t>
        </is>
      </c>
      <c r="E93" t="inlineStr">
        <is>
          <t>RC-CON</t>
        </is>
      </c>
      <c r="F93" s="8" t="n">
        <v>8</v>
      </c>
      <c r="G93" s="8" t="n">
        <v>16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R93" s="9">
        <f>F93*$AB93</f>
        <v/>
      </c>
      <c r="S93" s="9">
        <f>G93*$AC93</f>
        <v/>
      </c>
      <c r="T93" s="9">
        <f>H93*$AB93</f>
        <v/>
      </c>
      <c r="U93" s="9">
        <f>I93*$AC93</f>
        <v/>
      </c>
      <c r="V93" s="9">
        <f>J93*$AB93</f>
        <v/>
      </c>
      <c r="W93" s="9">
        <f>K93*$AC93</f>
        <v/>
      </c>
      <c r="X93" s="9">
        <f>L93*$AB93</f>
        <v/>
      </c>
      <c r="Y93" s="9">
        <f>M93*$AC93</f>
        <v/>
      </c>
      <c r="Z93" s="9">
        <f>N93*$AB93</f>
        <v/>
      </c>
      <c r="AA93" s="9">
        <f>O93*$AC93</f>
        <v/>
      </c>
      <c r="AB93" s="5">
        <f>VLOOKUP($E93,Tarifas!$B$4:$F$8,2,0)</f>
        <v/>
      </c>
      <c r="AC93" s="5">
        <f>VLOOKUP($E93,Tarifas!$B$4:$F$8,3,0)</f>
        <v/>
      </c>
    </row>
    <row r="94">
      <c r="A94" t="inlineStr">
        <is>
          <t>AI-04</t>
        </is>
      </c>
      <c r="B94" t="inlineStr">
        <is>
          <t>Consultoria y auditoria de IA</t>
        </is>
      </c>
      <c r="C94" t="inlineStr">
        <is>
          <t>ia</t>
        </is>
      </c>
      <c r="D94" t="inlineStr">
        <is>
          <t>Auditoria empresa/agencia pequena completa</t>
        </is>
      </c>
      <c r="E94" t="inlineStr">
        <is>
          <t>RC-CON</t>
        </is>
      </c>
      <c r="F94" s="8" t="n">
        <v>0</v>
      </c>
      <c r="G94" s="8" t="n">
        <v>0</v>
      </c>
      <c r="H94" s="8" t="n">
        <v>16</v>
      </c>
      <c r="I94" s="8" t="n">
        <v>32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R94" s="9">
        <f>F94*$AB94</f>
        <v/>
      </c>
      <c r="S94" s="9">
        <f>G94*$AC94</f>
        <v/>
      </c>
      <c r="T94" s="9">
        <f>H94*$AB94</f>
        <v/>
      </c>
      <c r="U94" s="9">
        <f>I94*$AC94</f>
        <v/>
      </c>
      <c r="V94" s="9">
        <f>J94*$AB94</f>
        <v/>
      </c>
      <c r="W94" s="9">
        <f>K94*$AC94</f>
        <v/>
      </c>
      <c r="X94" s="9">
        <f>L94*$AB94</f>
        <v/>
      </c>
      <c r="Y94" s="9">
        <f>M94*$AC94</f>
        <v/>
      </c>
      <c r="Z94" s="9">
        <f>N94*$AB94</f>
        <v/>
      </c>
      <c r="AA94" s="9">
        <f>O94*$AC94</f>
        <v/>
      </c>
      <c r="AB94" s="5">
        <f>VLOOKUP($E94,Tarifas!$B$4:$F$8,2,0)</f>
        <v/>
      </c>
      <c r="AC94" s="5">
        <f>VLOOKUP($E94,Tarifas!$B$4:$F$8,3,0)</f>
        <v/>
      </c>
    </row>
    <row r="95">
      <c r="A95" t="inlineStr">
        <is>
          <t>AI-04</t>
        </is>
      </c>
      <c r="B95" t="inlineStr">
        <is>
          <t>Consultoria y auditoria de IA</t>
        </is>
      </c>
      <c r="C95" t="inlineStr">
        <is>
          <t>ia</t>
        </is>
      </c>
      <c r="D95" t="inlineStr">
        <is>
          <t>Roadmap + piloto implementado</t>
        </is>
      </c>
      <c r="E95" t="inlineStr">
        <is>
          <t>RC-CON</t>
        </is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24</v>
      </c>
      <c r="K95" s="8" t="n">
        <v>48</v>
      </c>
      <c r="L95" s="8" t="n">
        <v>29</v>
      </c>
      <c r="M95" s="8" t="n">
        <v>57</v>
      </c>
      <c r="N95" s="8" t="n">
        <v>34</v>
      </c>
      <c r="O95" s="8" t="n">
        <v>68</v>
      </c>
      <c r="R95" s="9">
        <f>F95*$AB95</f>
        <v/>
      </c>
      <c r="S95" s="9">
        <f>G95*$AC95</f>
        <v/>
      </c>
      <c r="T95" s="9">
        <f>H95*$AB95</f>
        <v/>
      </c>
      <c r="U95" s="9">
        <f>I95*$AC95</f>
        <v/>
      </c>
      <c r="V95" s="9">
        <f>J95*$AB95</f>
        <v/>
      </c>
      <c r="W95" s="9">
        <f>K95*$AC95</f>
        <v/>
      </c>
      <c r="X95" s="9">
        <f>L95*$AB95</f>
        <v/>
      </c>
      <c r="Y95" s="9">
        <f>M95*$AC95</f>
        <v/>
      </c>
      <c r="Z95" s="9">
        <f>N95*$AB95</f>
        <v/>
      </c>
      <c r="AA95" s="9">
        <f>O95*$AC95</f>
        <v/>
      </c>
      <c r="AB95" s="5">
        <f>VLOOKUP($E95,Tarifas!$B$4:$F$8,2,0)</f>
        <v/>
      </c>
      <c r="AC95" s="5">
        <f>VLOOKUP($E95,Tarifas!$B$4:$F$8,3,0)</f>
        <v/>
      </c>
    </row>
    <row r="96">
      <c r="A96" t="inlineStr">
        <is>
          <t>VFX-01</t>
        </is>
      </c>
      <c r="B96" t="inlineStr">
        <is>
          <t>Modelo 3D integrado en foto/video real</t>
        </is>
      </c>
      <c r="C96" t="inlineStr">
        <is>
          <t>vfx</t>
        </is>
      </c>
      <c r="D96" t="inlineStr">
        <is>
          <t>Analisis de escena (perspectiva/luz/optica)</t>
        </is>
      </c>
      <c r="E96" t="inlineStr">
        <is>
          <t>RC-ART</t>
        </is>
      </c>
      <c r="F96" s="8" t="n">
        <v>0</v>
      </c>
      <c r="G96" s="8" t="n">
        <v>0</v>
      </c>
      <c r="H96" s="8" t="n">
        <v>1</v>
      </c>
      <c r="I96" s="8" t="n">
        <v>2</v>
      </c>
      <c r="J96" s="8" t="n">
        <v>1.5</v>
      </c>
      <c r="K96" s="8" t="n">
        <v>3</v>
      </c>
      <c r="L96" s="8" t="n">
        <v>2</v>
      </c>
      <c r="M96" s="8" t="n">
        <v>4</v>
      </c>
      <c r="N96" s="8" t="n">
        <v>2.5</v>
      </c>
      <c r="O96" s="8" t="n">
        <v>5</v>
      </c>
      <c r="R96" s="9">
        <f>F96*$AB96</f>
        <v/>
      </c>
      <c r="S96" s="9">
        <f>G96*$AC96</f>
        <v/>
      </c>
      <c r="T96" s="9">
        <f>H96*$AB96</f>
        <v/>
      </c>
      <c r="U96" s="9">
        <f>I96*$AC96</f>
        <v/>
      </c>
      <c r="V96" s="9">
        <f>J96*$AB96</f>
        <v/>
      </c>
      <c r="W96" s="9">
        <f>K96*$AC96</f>
        <v/>
      </c>
      <c r="X96" s="9">
        <f>L96*$AB96</f>
        <v/>
      </c>
      <c r="Y96" s="9">
        <f>M96*$AC96</f>
        <v/>
      </c>
      <c r="Z96" s="9">
        <f>N96*$AB96</f>
        <v/>
      </c>
      <c r="AA96" s="9">
        <f>O96*$AC96</f>
        <v/>
      </c>
      <c r="AB96" s="5">
        <f>VLOOKUP($E96,Tarifas!$B$4:$F$8,2,0)</f>
        <v/>
      </c>
      <c r="AC96" s="5">
        <f>VLOOKUP($E96,Tarifas!$B$4:$F$8,3,0)</f>
        <v/>
      </c>
    </row>
    <row r="97">
      <c r="A97" t="inlineStr">
        <is>
          <t>VFX-01</t>
        </is>
      </c>
      <c r="B97" t="inlineStr">
        <is>
          <t>Modelo 3D integrado en foto/video real</t>
        </is>
      </c>
      <c r="C97" t="inlineStr">
        <is>
          <t>vfx</t>
        </is>
      </c>
      <c r="D97" t="inlineStr">
        <is>
          <t>Tracking de camara/matchmove</t>
        </is>
      </c>
      <c r="E97" t="inlineStr">
        <is>
          <t>RC-ART</t>
        </is>
      </c>
      <c r="F97" s="8" t="n">
        <v>0</v>
      </c>
      <c r="G97" s="8" t="n">
        <v>0</v>
      </c>
      <c r="H97" s="8" t="n">
        <v>1</v>
      </c>
      <c r="I97" s="8" t="n">
        <v>3</v>
      </c>
      <c r="J97" s="8" t="n">
        <v>3</v>
      </c>
      <c r="K97" s="8" t="n">
        <v>6</v>
      </c>
      <c r="L97" s="8" t="n">
        <v>7</v>
      </c>
      <c r="M97" s="8" t="n">
        <v>14</v>
      </c>
      <c r="N97" s="8" t="n">
        <v>8</v>
      </c>
      <c r="O97" s="8" t="n">
        <v>16</v>
      </c>
      <c r="R97" s="9">
        <f>F97*$AB97</f>
        <v/>
      </c>
      <c r="S97" s="9">
        <f>G97*$AC97</f>
        <v/>
      </c>
      <c r="T97" s="9">
        <f>H97*$AB97</f>
        <v/>
      </c>
      <c r="U97" s="9">
        <f>I97*$AC97</f>
        <v/>
      </c>
      <c r="V97" s="9">
        <f>J97*$AB97</f>
        <v/>
      </c>
      <c r="W97" s="9">
        <f>K97*$AC97</f>
        <v/>
      </c>
      <c r="X97" s="9">
        <f>L97*$AB97</f>
        <v/>
      </c>
      <c r="Y97" s="9">
        <f>M97*$AC97</f>
        <v/>
      </c>
      <c r="Z97" s="9">
        <f>N97*$AB97</f>
        <v/>
      </c>
      <c r="AA97" s="9">
        <f>O97*$AC97</f>
        <v/>
      </c>
      <c r="AB97" s="5">
        <f>VLOOKUP($E97,Tarifas!$B$4:$F$8,2,0)</f>
        <v/>
      </c>
      <c r="AC97" s="5">
        <f>VLOOKUP($E97,Tarifas!$B$4:$F$8,3,0)</f>
        <v/>
      </c>
    </row>
    <row r="98">
      <c r="A98" t="inlineStr">
        <is>
          <t>VFX-01</t>
        </is>
      </c>
      <c r="B98" t="inlineStr">
        <is>
          <t>Modelo 3D integrado en foto/video real</t>
        </is>
      </c>
      <c r="C98" t="inlineStr">
        <is>
          <t>vfx</t>
        </is>
      </c>
      <c r="D98" t="inlineStr">
        <is>
          <t>Geometria proxy/planos segun escena</t>
        </is>
      </c>
      <c r="E98" t="inlineStr">
        <is>
          <t>RC-ART</t>
        </is>
      </c>
      <c r="F98" s="8" t="n">
        <v>0</v>
      </c>
      <c r="G98" s="8" t="n">
        <v>0</v>
      </c>
      <c r="H98" s="8" t="n">
        <v>1</v>
      </c>
      <c r="I98" s="8" t="n">
        <v>2.5</v>
      </c>
      <c r="J98" s="8" t="n">
        <v>2</v>
      </c>
      <c r="K98" s="8" t="n">
        <v>5</v>
      </c>
      <c r="L98" s="8" t="n">
        <v>4</v>
      </c>
      <c r="M98" s="8" t="n">
        <v>9</v>
      </c>
      <c r="N98" s="8" t="n">
        <v>5</v>
      </c>
      <c r="O98" s="8" t="n">
        <v>10</v>
      </c>
      <c r="R98" s="9">
        <f>F98*$AB98</f>
        <v/>
      </c>
      <c r="S98" s="9">
        <f>G98*$AC98</f>
        <v/>
      </c>
      <c r="T98" s="9">
        <f>H98*$AB98</f>
        <v/>
      </c>
      <c r="U98" s="9">
        <f>I98*$AC98</f>
        <v/>
      </c>
      <c r="V98" s="9">
        <f>J98*$AB98</f>
        <v/>
      </c>
      <c r="W98" s="9">
        <f>K98*$AC98</f>
        <v/>
      </c>
      <c r="X98" s="9">
        <f>L98*$AB98</f>
        <v/>
      </c>
      <c r="Y98" s="9">
        <f>M98*$AC98</f>
        <v/>
      </c>
      <c r="Z98" s="9">
        <f>N98*$AB98</f>
        <v/>
      </c>
      <c r="AA98" s="9">
        <f>O98*$AC98</f>
        <v/>
      </c>
      <c r="AB98" s="5">
        <f>VLOOKUP($E98,Tarifas!$B$4:$F$8,2,0)</f>
        <v/>
      </c>
      <c r="AC98" s="5">
        <f>VLOOKUP($E98,Tarifas!$B$4:$F$8,3,0)</f>
        <v/>
      </c>
    </row>
    <row r="99">
      <c r="A99" t="inlineStr">
        <is>
          <t>VFX-01</t>
        </is>
      </c>
      <c r="B99" t="inlineStr">
        <is>
          <t>Modelo 3D integrado en foto/video real</t>
        </is>
      </c>
      <c r="C99" t="inlineStr">
        <is>
          <t>vfx</t>
        </is>
      </c>
      <c r="D99" t="inlineStr">
        <is>
          <t>Match iluminacion + sombras/reflejos</t>
        </is>
      </c>
      <c r="E99" t="inlineStr">
        <is>
          <t>RC-ART</t>
        </is>
      </c>
      <c r="F99" s="8" t="n">
        <v>0</v>
      </c>
      <c r="G99" s="8" t="n">
        <v>0</v>
      </c>
      <c r="H99" s="8" t="n">
        <v>1.5</v>
      </c>
      <c r="I99" s="8" t="n">
        <v>3.5</v>
      </c>
      <c r="J99" s="8" t="n">
        <v>3</v>
      </c>
      <c r="K99" s="8" t="n">
        <v>6</v>
      </c>
      <c r="L99" s="8" t="n">
        <v>5</v>
      </c>
      <c r="M99" s="8" t="n">
        <v>11</v>
      </c>
      <c r="N99" s="8" t="n">
        <v>6</v>
      </c>
      <c r="O99" s="8" t="n">
        <v>13</v>
      </c>
      <c r="R99" s="9">
        <f>F99*$AB99</f>
        <v/>
      </c>
      <c r="S99" s="9">
        <f>G99*$AC99</f>
        <v/>
      </c>
      <c r="T99" s="9">
        <f>H99*$AB99</f>
        <v/>
      </c>
      <c r="U99" s="9">
        <f>I99*$AC99</f>
        <v/>
      </c>
      <c r="V99" s="9">
        <f>J99*$AB99</f>
        <v/>
      </c>
      <c r="W99" s="9">
        <f>K99*$AC99</f>
        <v/>
      </c>
      <c r="X99" s="9">
        <f>L99*$AB99</f>
        <v/>
      </c>
      <c r="Y99" s="9">
        <f>M99*$AC99</f>
        <v/>
      </c>
      <c r="Z99" s="9">
        <f>N99*$AB99</f>
        <v/>
      </c>
      <c r="AA99" s="9">
        <f>O99*$AC99</f>
        <v/>
      </c>
      <c r="AB99" s="5">
        <f>VLOOKUP($E99,Tarifas!$B$4:$F$8,2,0)</f>
        <v/>
      </c>
      <c r="AC99" s="5">
        <f>VLOOKUP($E99,Tarifas!$B$4:$F$8,3,0)</f>
        <v/>
      </c>
    </row>
    <row r="100">
      <c r="A100" t="inlineStr">
        <is>
          <t>VFX-01</t>
        </is>
      </c>
      <c r="B100" t="inlineStr">
        <is>
          <t>Modelo 3D integrado en foto/video real</t>
        </is>
      </c>
      <c r="C100" t="inlineStr">
        <is>
          <t>vfx</t>
        </is>
      </c>
      <c r="D100" t="inlineStr">
        <is>
          <t>Render elemento 3D + passes</t>
        </is>
      </c>
      <c r="E100" t="inlineStr">
        <is>
          <t>RC-ART</t>
        </is>
      </c>
      <c r="F100" s="8" t="n">
        <v>0</v>
      </c>
      <c r="G100" s="8" t="n">
        <v>0</v>
      </c>
      <c r="H100" s="8" t="n">
        <v>0.5</v>
      </c>
      <c r="I100" s="8" t="n">
        <v>1.5</v>
      </c>
      <c r="J100" s="8" t="n">
        <v>1.5</v>
      </c>
      <c r="K100" s="8" t="n">
        <v>4</v>
      </c>
      <c r="L100" s="8" t="n">
        <v>3</v>
      </c>
      <c r="M100" s="8" t="n">
        <v>8</v>
      </c>
      <c r="N100" s="8" t="n">
        <v>4</v>
      </c>
      <c r="O100" s="8" t="n">
        <v>9</v>
      </c>
      <c r="R100" s="9">
        <f>F100*$AB100</f>
        <v/>
      </c>
      <c r="S100" s="9">
        <f>G100*$AC100</f>
        <v/>
      </c>
      <c r="T100" s="9">
        <f>H100*$AB100</f>
        <v/>
      </c>
      <c r="U100" s="9">
        <f>I100*$AC100</f>
        <v/>
      </c>
      <c r="V100" s="9">
        <f>J100*$AB100</f>
        <v/>
      </c>
      <c r="W100" s="9">
        <f>K100*$AC100</f>
        <v/>
      </c>
      <c r="X100" s="9">
        <f>L100*$AB100</f>
        <v/>
      </c>
      <c r="Y100" s="9">
        <f>M100*$AC100</f>
        <v/>
      </c>
      <c r="Z100" s="9">
        <f>N100*$AB100</f>
        <v/>
      </c>
      <c r="AA100" s="9">
        <f>O100*$AC100</f>
        <v/>
      </c>
      <c r="AB100" s="5">
        <f>VLOOKUP($E100,Tarifas!$B$4:$F$8,2,0)</f>
        <v/>
      </c>
      <c r="AC100" s="5">
        <f>VLOOKUP($E100,Tarifas!$B$4:$F$8,3,0)</f>
        <v/>
      </c>
    </row>
    <row r="101">
      <c r="A101" t="inlineStr">
        <is>
          <t>VFX-01</t>
        </is>
      </c>
      <c r="B101" t="inlineStr">
        <is>
          <t>Modelo 3D integrado en foto/video real</t>
        </is>
      </c>
      <c r="C101" t="inlineStr">
        <is>
          <t>vfx</t>
        </is>
      </c>
      <c r="D101" t="inlineStr">
        <is>
          <t>Compositing (grain/color match/motion blur)</t>
        </is>
      </c>
      <c r="E101" t="inlineStr">
        <is>
          <t>RC-ART</t>
        </is>
      </c>
      <c r="F101" s="8" t="n">
        <v>0</v>
      </c>
      <c r="G101" s="8" t="n">
        <v>0</v>
      </c>
      <c r="H101" s="8" t="n">
        <v>1</v>
      </c>
      <c r="I101" s="8" t="n">
        <v>3</v>
      </c>
      <c r="J101" s="8" t="n">
        <v>2</v>
      </c>
      <c r="K101" s="8" t="n">
        <v>4</v>
      </c>
      <c r="L101" s="8" t="n">
        <v>3</v>
      </c>
      <c r="M101" s="8" t="n">
        <v>7</v>
      </c>
      <c r="N101" s="8" t="n">
        <v>4</v>
      </c>
      <c r="O101" s="8" t="n">
        <v>8</v>
      </c>
      <c r="R101" s="9">
        <f>F101*$AB101</f>
        <v/>
      </c>
      <c r="S101" s="9">
        <f>G101*$AC101</f>
        <v/>
      </c>
      <c r="T101" s="9">
        <f>H101*$AB101</f>
        <v/>
      </c>
      <c r="U101" s="9">
        <f>I101*$AC101</f>
        <v/>
      </c>
      <c r="V101" s="9">
        <f>J101*$AB101</f>
        <v/>
      </c>
      <c r="W101" s="9">
        <f>K101*$AC101</f>
        <v/>
      </c>
      <c r="X101" s="9">
        <f>L101*$AB101</f>
        <v/>
      </c>
      <c r="Y101" s="9">
        <f>M101*$AC101</f>
        <v/>
      </c>
      <c r="Z101" s="9">
        <f>N101*$AB101</f>
        <v/>
      </c>
      <c r="AA101" s="9">
        <f>O101*$AC101</f>
        <v/>
      </c>
      <c r="AB101" s="5">
        <f>VLOOKUP($E101,Tarifas!$B$4:$F$8,2,0)</f>
        <v/>
      </c>
      <c r="AC101" s="5">
        <f>VLOOKUP($E101,Tarifas!$B$4:$F$8,3,0)</f>
        <v/>
      </c>
    </row>
    <row r="102">
      <c r="A102" t="inlineStr">
        <is>
          <t>VFX-02</t>
        </is>
      </c>
      <c r="B102" t="inlineStr">
        <is>
          <t>FX puro (simulaciones video)</t>
        </is>
      </c>
      <c r="C102" t="inlineStr">
        <is>
          <t>vfx</t>
        </is>
      </c>
      <c r="D102" t="inlineStr">
        <is>
          <t>FX basico (chispas/polvo/humo ligero)</t>
        </is>
      </c>
      <c r="E102" t="inlineStr">
        <is>
          <t>RC-ART</t>
        </is>
      </c>
      <c r="F102" s="8" t="n">
        <v>6</v>
      </c>
      <c r="G102" s="8" t="n">
        <v>14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R102" s="9">
        <f>F102*$AB102</f>
        <v/>
      </c>
      <c r="S102" s="9">
        <f>G102*$AC102</f>
        <v/>
      </c>
      <c r="T102" s="9">
        <f>H102*$AB102</f>
        <v/>
      </c>
      <c r="U102" s="9">
        <f>I102*$AC102</f>
        <v/>
      </c>
      <c r="V102" s="9">
        <f>J102*$AB102</f>
        <v/>
      </c>
      <c r="W102" s="9">
        <f>K102*$AC102</f>
        <v/>
      </c>
      <c r="X102" s="9">
        <f>L102*$AB102</f>
        <v/>
      </c>
      <c r="Y102" s="9">
        <f>M102*$AC102</f>
        <v/>
      </c>
      <c r="Z102" s="9">
        <f>N102*$AB102</f>
        <v/>
      </c>
      <c r="AA102" s="9">
        <f>O102*$AC102</f>
        <v/>
      </c>
      <c r="AB102" s="5">
        <f>VLOOKUP($E102,Tarifas!$B$4:$F$8,2,0)</f>
        <v/>
      </c>
      <c r="AC102" s="5">
        <f>VLOOKUP($E102,Tarifas!$B$4:$F$8,3,0)</f>
        <v/>
      </c>
    </row>
    <row r="103">
      <c r="A103" t="inlineStr">
        <is>
          <t>VFX-02</t>
        </is>
      </c>
      <c r="B103" t="inlineStr">
        <is>
          <t>FX puro (simulaciones video)</t>
        </is>
      </c>
      <c r="C103" t="inlineStr">
        <is>
          <t>vfx</t>
        </is>
      </c>
      <c r="D103" t="inlineStr">
        <is>
          <t>FX medio (humo denso/liquido simple/telas)</t>
        </is>
      </c>
      <c r="E103" t="inlineStr">
        <is>
          <t>RC-ART</t>
        </is>
      </c>
      <c r="F103" s="8" t="n">
        <v>0</v>
      </c>
      <c r="G103" s="8" t="n">
        <v>0</v>
      </c>
      <c r="H103" s="8" t="n">
        <v>14</v>
      </c>
      <c r="I103" s="8" t="n">
        <v>35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R103" s="9">
        <f>F103*$AB103</f>
        <v/>
      </c>
      <c r="S103" s="9">
        <f>G103*$AC103</f>
        <v/>
      </c>
      <c r="T103" s="9">
        <f>H103*$AB103</f>
        <v/>
      </c>
      <c r="U103" s="9">
        <f>I103*$AC103</f>
        <v/>
      </c>
      <c r="V103" s="9">
        <f>J103*$AB103</f>
        <v/>
      </c>
      <c r="W103" s="9">
        <f>K103*$AC103</f>
        <v/>
      </c>
      <c r="X103" s="9">
        <f>L103*$AB103</f>
        <v/>
      </c>
      <c r="Y103" s="9">
        <f>M103*$AC103</f>
        <v/>
      </c>
      <c r="Z103" s="9">
        <f>N103*$AB103</f>
        <v/>
      </c>
      <c r="AA103" s="9">
        <f>O103*$AC103</f>
        <v/>
      </c>
      <c r="AB103" s="5">
        <f>VLOOKUP($E103,Tarifas!$B$4:$F$8,2,0)</f>
        <v/>
      </c>
      <c r="AC103" s="5">
        <f>VLOOKUP($E103,Tarifas!$B$4:$F$8,3,0)</f>
        <v/>
      </c>
    </row>
    <row r="104">
      <c r="A104" t="inlineStr">
        <is>
          <t>VFX-02</t>
        </is>
      </c>
      <c r="B104" t="inlineStr">
        <is>
          <t>FX puro (simulaciones video)</t>
        </is>
      </c>
      <c r="C104" t="inlineStr">
        <is>
          <t>vfx</t>
        </is>
      </c>
      <c r="D104" t="inlineStr">
        <is>
          <t>FX pesado (fluido hero/destruccion estructural)</t>
        </is>
      </c>
      <c r="E104" t="inlineStr">
        <is>
          <t>RC-ART</t>
        </is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35</v>
      </c>
      <c r="K104" s="8" t="n">
        <v>80</v>
      </c>
      <c r="L104" s="8" t="n">
        <v>42</v>
      </c>
      <c r="M104" s="8" t="n">
        <v>96</v>
      </c>
      <c r="N104" s="8" t="n">
        <v>50</v>
      </c>
      <c r="O104" s="8" t="n">
        <v>112</v>
      </c>
      <c r="R104" s="9">
        <f>F104*$AB104</f>
        <v/>
      </c>
      <c r="S104" s="9">
        <f>G104*$AC104</f>
        <v/>
      </c>
      <c r="T104" s="9">
        <f>H104*$AB104</f>
        <v/>
      </c>
      <c r="U104" s="9">
        <f>I104*$AC104</f>
        <v/>
      </c>
      <c r="V104" s="9">
        <f>J104*$AB104</f>
        <v/>
      </c>
      <c r="W104" s="9">
        <f>K104*$AC104</f>
        <v/>
      </c>
      <c r="X104" s="9">
        <f>L104*$AB104</f>
        <v/>
      </c>
      <c r="Y104" s="9">
        <f>M104*$AC104</f>
        <v/>
      </c>
      <c r="Z104" s="9">
        <f>N104*$AB104</f>
        <v/>
      </c>
      <c r="AA104" s="9">
        <f>O104*$AC104</f>
        <v/>
      </c>
      <c r="AB104" s="5">
        <f>VLOOKUP($E104,Tarifas!$B$4:$F$8,2,0)</f>
        <v/>
      </c>
      <c r="AC104" s="5">
        <f>VLOOKUP($E104,Tarifas!$B$4:$F$8,3,0)</f>
        <v/>
      </c>
    </row>
    <row r="105">
      <c r="A105" t="inlineStr">
        <is>
          <t>VFX-03</t>
        </is>
      </c>
      <c r="B105" t="inlineStr">
        <is>
          <t>Motion graphics 3D</t>
        </is>
      </c>
      <c r="C105" t="inlineStr">
        <is>
          <t>vfx</t>
        </is>
      </c>
      <c r="D105" t="inlineStr">
        <is>
          <t>Logo reveal (&lt;=5s, 1 estilo)</t>
        </is>
      </c>
      <c r="E105" t="inlineStr">
        <is>
          <t>RC-ART</t>
        </is>
      </c>
      <c r="F105" s="8" t="n">
        <v>0</v>
      </c>
      <c r="G105" s="8" t="n">
        <v>0</v>
      </c>
      <c r="H105" s="8" t="n">
        <v>4</v>
      </c>
      <c r="I105" s="8" t="n">
        <v>8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R105" s="9">
        <f>F105*$AB105</f>
        <v/>
      </c>
      <c r="S105" s="9">
        <f>G105*$AC105</f>
        <v/>
      </c>
      <c r="T105" s="9">
        <f>H105*$AB105</f>
        <v/>
      </c>
      <c r="U105" s="9">
        <f>I105*$AC105</f>
        <v/>
      </c>
      <c r="V105" s="9">
        <f>J105*$AB105</f>
        <v/>
      </c>
      <c r="W105" s="9">
        <f>K105*$AC105</f>
        <v/>
      </c>
      <c r="X105" s="9">
        <f>L105*$AB105</f>
        <v/>
      </c>
      <c r="Y105" s="9">
        <f>M105*$AC105</f>
        <v/>
      </c>
      <c r="Z105" s="9">
        <f>N105*$AB105</f>
        <v/>
      </c>
      <c r="AA105" s="9">
        <f>O105*$AC105</f>
        <v/>
      </c>
      <c r="AB105" s="5">
        <f>VLOOKUP($E105,Tarifas!$B$4:$F$8,2,0)</f>
        <v/>
      </c>
      <c r="AC105" s="5">
        <f>VLOOKUP($E105,Tarifas!$B$4:$F$8,3,0)</f>
        <v/>
      </c>
    </row>
    <row r="106">
      <c r="A106" t="inlineStr">
        <is>
          <t>VFX-03</t>
        </is>
      </c>
      <c r="B106" t="inlineStr">
        <is>
          <t>Motion graphics 3D</t>
        </is>
      </c>
      <c r="C106" t="inlineStr">
        <is>
          <t>vfx</t>
        </is>
      </c>
      <c r="D106" t="inlineStr">
        <is>
          <t>Set editorial (lowers/transitions/bumpers)</t>
        </is>
      </c>
      <c r="E106" t="inlineStr">
        <is>
          <t>RC-ART</t>
        </is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8</v>
      </c>
      <c r="K106" s="8" t="n">
        <v>16</v>
      </c>
      <c r="L106" s="8" t="n">
        <v>0</v>
      </c>
      <c r="M106" s="8" t="n">
        <v>0</v>
      </c>
      <c r="N106" s="8" t="n">
        <v>0</v>
      </c>
      <c r="O106" s="8" t="n">
        <v>0</v>
      </c>
      <c r="R106" s="9">
        <f>F106*$AB106</f>
        <v/>
      </c>
      <c r="S106" s="9">
        <f>G106*$AC106</f>
        <v/>
      </c>
      <c r="T106" s="9">
        <f>H106*$AB106</f>
        <v/>
      </c>
      <c r="U106" s="9">
        <f>I106*$AC106</f>
        <v/>
      </c>
      <c r="V106" s="9">
        <f>J106*$AB106</f>
        <v/>
      </c>
      <c r="W106" s="9">
        <f>K106*$AC106</f>
        <v/>
      </c>
      <c r="X106" s="9">
        <f>L106*$AB106</f>
        <v/>
      </c>
      <c r="Y106" s="9">
        <f>M106*$AC106</f>
        <v/>
      </c>
      <c r="Z106" s="9">
        <f>N106*$AB106</f>
        <v/>
      </c>
      <c r="AA106" s="9">
        <f>O106*$AC106</f>
        <v/>
      </c>
      <c r="AB106" s="5">
        <f>VLOOKUP($E106,Tarifas!$B$4:$F$8,2,0)</f>
        <v/>
      </c>
      <c r="AC106" s="5">
        <f>VLOOKUP($E106,Tarifas!$B$4:$F$8,3,0)</f>
        <v/>
      </c>
    </row>
    <row r="107">
      <c r="A107" t="inlineStr">
        <is>
          <t>VFX-03</t>
        </is>
      </c>
      <c r="B107" t="inlineStr">
        <is>
          <t>Motion graphics 3D</t>
        </is>
      </c>
      <c r="C107" t="inlineStr">
        <is>
          <t>vfx</t>
        </is>
      </c>
      <c r="D107" t="inlineStr">
        <is>
          <t>Branding animado completo + plantilla</t>
        </is>
      </c>
      <c r="E107" t="inlineStr">
        <is>
          <t>RC-ART</t>
        </is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18</v>
      </c>
      <c r="M107" s="8" t="n">
        <v>40</v>
      </c>
      <c r="N107" s="8" t="n">
        <v>22</v>
      </c>
      <c r="O107" s="8" t="n">
        <v>48</v>
      </c>
      <c r="R107" s="9">
        <f>F107*$AB107</f>
        <v/>
      </c>
      <c r="S107" s="9">
        <f>G107*$AC107</f>
        <v/>
      </c>
      <c r="T107" s="9">
        <f>H107*$AB107</f>
        <v/>
      </c>
      <c r="U107" s="9">
        <f>I107*$AC107</f>
        <v/>
      </c>
      <c r="V107" s="9">
        <f>J107*$AB107</f>
        <v/>
      </c>
      <c r="W107" s="9">
        <f>K107*$AC107</f>
        <v/>
      </c>
      <c r="X107" s="9">
        <f>L107*$AB107</f>
        <v/>
      </c>
      <c r="Y107" s="9">
        <f>M107*$AC107</f>
        <v/>
      </c>
      <c r="Z107" s="9">
        <f>N107*$AB107</f>
        <v/>
      </c>
      <c r="AA107" s="9">
        <f>O107*$AC107</f>
        <v/>
      </c>
      <c r="AB107" s="5">
        <f>VLOOKUP($E107,Tarifas!$B$4:$F$8,2,0)</f>
        <v/>
      </c>
      <c r="AC107" s="5">
        <f>VLOOKUP($E107,Tarifas!$B$4:$F$8,3,0)</f>
        <v/>
      </c>
    </row>
    <row r="108">
      <c r="A108" t="inlineStr">
        <is>
          <t>TEX-01</t>
        </is>
      </c>
      <c r="B108" t="inlineStr">
        <is>
          <t>Generacion de texturas y mapas</t>
        </is>
      </c>
      <c r="C108" t="inlineStr">
        <is>
          <t>texturas</t>
        </is>
      </c>
      <c r="D108" t="inlineStr">
        <is>
          <t>Set tileable S (material limpio simple)</t>
        </is>
      </c>
      <c r="E108" t="inlineStr">
        <is>
          <t>RC-RTA</t>
        </is>
      </c>
      <c r="F108" s="8" t="n">
        <v>0</v>
      </c>
      <c r="G108" s="8" t="n">
        <v>0</v>
      </c>
      <c r="H108" s="8" t="n">
        <v>2</v>
      </c>
      <c r="I108" s="8" t="n">
        <v>5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R108" s="9">
        <f>F108*$AB108</f>
        <v/>
      </c>
      <c r="S108" s="9">
        <f>G108*$AC108</f>
        <v/>
      </c>
      <c r="T108" s="9">
        <f>H108*$AB108</f>
        <v/>
      </c>
      <c r="U108" s="9">
        <f>I108*$AC108</f>
        <v/>
      </c>
      <c r="V108" s="9">
        <f>J108*$AB108</f>
        <v/>
      </c>
      <c r="W108" s="9">
        <f>K108*$AC108</f>
        <v/>
      </c>
      <c r="X108" s="9">
        <f>L108*$AB108</f>
        <v/>
      </c>
      <c r="Y108" s="9">
        <f>M108*$AC108</f>
        <v/>
      </c>
      <c r="Z108" s="9">
        <f>N108*$AB108</f>
        <v/>
      </c>
      <c r="AA108" s="9">
        <f>O108*$AC108</f>
        <v/>
      </c>
      <c r="AB108" s="5">
        <f>VLOOKUP($E108,Tarifas!$B$4:$F$8,2,0)</f>
        <v/>
      </c>
      <c r="AC108" s="5">
        <f>VLOOKUP($E108,Tarifas!$B$4:$F$8,3,0)</f>
        <v/>
      </c>
    </row>
    <row r="109">
      <c r="A109" t="inlineStr">
        <is>
          <t>TEX-01</t>
        </is>
      </c>
      <c r="B109" t="inlineStr">
        <is>
          <t>Generacion de texturas y mapas</t>
        </is>
      </c>
      <c r="C109" t="inlineStr">
        <is>
          <t>texturas</t>
        </is>
      </c>
      <c r="D109" t="inlineStr">
        <is>
          <t>Set tileable M (variaciones/desgaste moderado)</t>
        </is>
      </c>
      <c r="E109" t="inlineStr">
        <is>
          <t>RC-RTA</t>
        </is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5</v>
      </c>
      <c r="K109" s="8" t="n">
        <v>10</v>
      </c>
      <c r="L109" s="8" t="n">
        <v>0</v>
      </c>
      <c r="M109" s="8" t="n">
        <v>0</v>
      </c>
      <c r="N109" s="8" t="n">
        <v>0</v>
      </c>
      <c r="O109" s="8" t="n">
        <v>0</v>
      </c>
      <c r="R109" s="9">
        <f>F109*$AB109</f>
        <v/>
      </c>
      <c r="S109" s="9">
        <f>G109*$AC109</f>
        <v/>
      </c>
      <c r="T109" s="9">
        <f>H109*$AB109</f>
        <v/>
      </c>
      <c r="U109" s="9">
        <f>I109*$AC109</f>
        <v/>
      </c>
      <c r="V109" s="9">
        <f>J109*$AB109</f>
        <v/>
      </c>
      <c r="W109" s="9">
        <f>K109*$AC109</f>
        <v/>
      </c>
      <c r="X109" s="9">
        <f>L109*$AB109</f>
        <v/>
      </c>
      <c r="Y109" s="9">
        <f>M109*$AC109</f>
        <v/>
      </c>
      <c r="Z109" s="9">
        <f>N109*$AB109</f>
        <v/>
      </c>
      <c r="AA109" s="9">
        <f>O109*$AC109</f>
        <v/>
      </c>
      <c r="AB109" s="5">
        <f>VLOOKUP($E109,Tarifas!$B$4:$F$8,2,0)</f>
        <v/>
      </c>
      <c r="AC109" s="5">
        <f>VLOOKUP($E109,Tarifas!$B$4:$F$8,3,0)</f>
        <v/>
      </c>
    </row>
    <row r="110">
      <c r="A110" t="inlineStr">
        <is>
          <t>TEX-01</t>
        </is>
      </c>
      <c r="B110" t="inlineStr">
        <is>
          <t>Generacion de texturas y mapas</t>
        </is>
      </c>
      <c r="C110" t="inlineStr">
        <is>
          <t>texturas</t>
        </is>
      </c>
      <c r="D110" t="inlineStr">
        <is>
          <t>Set procedural parametrico (exposables en motor)</t>
        </is>
      </c>
      <c r="E110" t="inlineStr">
        <is>
          <t>RC-RTA</t>
        </is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10</v>
      </c>
      <c r="M110" s="8" t="n">
        <v>20</v>
      </c>
      <c r="N110" s="8" t="n">
        <v>12</v>
      </c>
      <c r="O110" s="8" t="n">
        <v>24</v>
      </c>
      <c r="R110" s="9">
        <f>F110*$AB110</f>
        <v/>
      </c>
      <c r="S110" s="9">
        <f>G110*$AC110</f>
        <v/>
      </c>
      <c r="T110" s="9">
        <f>H110*$AB110</f>
        <v/>
      </c>
      <c r="U110" s="9">
        <f>I110*$AC110</f>
        <v/>
      </c>
      <c r="V110" s="9">
        <f>J110*$AB110</f>
        <v/>
      </c>
      <c r="W110" s="9">
        <f>K110*$AC110</f>
        <v/>
      </c>
      <c r="X110" s="9">
        <f>L110*$AB110</f>
        <v/>
      </c>
      <c r="Y110" s="9">
        <f>M110*$AC110</f>
        <v/>
      </c>
      <c r="Z110" s="9">
        <f>N110*$AB110</f>
        <v/>
      </c>
      <c r="AA110" s="9">
        <f>O110*$AC110</f>
        <v/>
      </c>
      <c r="AB110" s="5">
        <f>VLOOKUP($E110,Tarifas!$B$4:$F$8,2,0)</f>
        <v/>
      </c>
      <c r="AC110" s="5">
        <f>VLOOKUP($E110,Tarifas!$B$4:$F$8,3,0)</f>
        <v/>
      </c>
    </row>
    <row r="111">
      <c r="A111" t="inlineStr">
        <is>
          <t>TEX-01</t>
        </is>
      </c>
      <c r="B111" t="inlineStr">
        <is>
          <t>Generacion de texturas y mapas</t>
        </is>
      </c>
      <c r="C111" t="inlineStr">
        <is>
          <t>texturas</t>
        </is>
      </c>
      <c r="D111" t="inlineStr">
        <is>
          <t>Texturizado asset completo (segun n materiales)</t>
        </is>
      </c>
      <c r="E111" t="inlineStr">
        <is>
          <t>RC-RTA</t>
        </is>
      </c>
      <c r="F111" s="8" t="n">
        <v>0</v>
      </c>
      <c r="G111" s="8" t="n">
        <v>0</v>
      </c>
      <c r="H111" s="8" t="n">
        <v>3</v>
      </c>
      <c r="I111" s="8" t="n">
        <v>8</v>
      </c>
      <c r="J111" s="8" t="n">
        <v>8</v>
      </c>
      <c r="K111" s="8" t="n">
        <v>20</v>
      </c>
      <c r="L111" s="8" t="n">
        <v>20</v>
      </c>
      <c r="M111" s="8" t="n">
        <v>45</v>
      </c>
      <c r="N111" s="8" t="n">
        <v>24</v>
      </c>
      <c r="O111" s="8" t="n">
        <v>54</v>
      </c>
      <c r="R111" s="9">
        <f>F111*$AB111</f>
        <v/>
      </c>
      <c r="S111" s="9">
        <f>G111*$AC111</f>
        <v/>
      </c>
      <c r="T111" s="9">
        <f>H111*$AB111</f>
        <v/>
      </c>
      <c r="U111" s="9">
        <f>I111*$AC111</f>
        <v/>
      </c>
      <c r="V111" s="9">
        <f>J111*$AB111</f>
        <v/>
      </c>
      <c r="W111" s="9">
        <f>K111*$AC111</f>
        <v/>
      </c>
      <c r="X111" s="9">
        <f>L111*$AB111</f>
        <v/>
      </c>
      <c r="Y111" s="9">
        <f>M111*$AC111</f>
        <v/>
      </c>
      <c r="Z111" s="9">
        <f>N111*$AB111</f>
        <v/>
      </c>
      <c r="AA111" s="9">
        <f>O111*$AC111</f>
        <v/>
      </c>
      <c r="AB111" s="5">
        <f>VLOOKUP($E111,Tarifas!$B$4:$F$8,2,0)</f>
        <v/>
      </c>
      <c r="AC111" s="5">
        <f>VLOOKUP($E111,Tarifas!$B$4:$F$8,3,0)</f>
        <v/>
      </c>
    </row>
    <row r="112">
      <c r="A112" t="inlineStr">
        <is>
          <t>TEX-01</t>
        </is>
      </c>
      <c r="B112" t="inlineStr">
        <is>
          <t>Generacion de texturas y mapas</t>
        </is>
      </c>
      <c r="C112" t="inlineStr">
        <is>
          <t>texturas</t>
        </is>
      </c>
      <c r="D112" t="inlineStr">
        <is>
          <t>Baking standalone high-&gt;low</t>
        </is>
      </c>
      <c r="E112" t="inlineStr">
        <is>
          <t>RC-RTA</t>
        </is>
      </c>
      <c r="F112" s="8" t="n">
        <v>0</v>
      </c>
      <c r="G112" s="8" t="n">
        <v>0</v>
      </c>
      <c r="H112" s="8" t="n">
        <v>1</v>
      </c>
      <c r="I112" s="8" t="n">
        <v>4</v>
      </c>
      <c r="J112" s="8" t="n">
        <v>1</v>
      </c>
      <c r="K112" s="8" t="n">
        <v>4</v>
      </c>
      <c r="L112" s="8" t="n">
        <v>1</v>
      </c>
      <c r="M112" s="8" t="n">
        <v>4</v>
      </c>
      <c r="N112" s="8" t="n">
        <v>1</v>
      </c>
      <c r="O112" s="8" t="n">
        <v>4</v>
      </c>
      <c r="R112" s="9">
        <f>F112*$AB112</f>
        <v/>
      </c>
      <c r="S112" s="9">
        <f>G112*$AC112</f>
        <v/>
      </c>
      <c r="T112" s="9">
        <f>H112*$AB112</f>
        <v/>
      </c>
      <c r="U112" s="9">
        <f>I112*$AC112</f>
        <v/>
      </c>
      <c r="V112" s="9">
        <f>J112*$AB112</f>
        <v/>
      </c>
      <c r="W112" s="9">
        <f>K112*$AC112</f>
        <v/>
      </c>
      <c r="X112" s="9">
        <f>L112*$AB112</f>
        <v/>
      </c>
      <c r="Y112" s="9">
        <f>M112*$AC112</f>
        <v/>
      </c>
      <c r="Z112" s="9">
        <f>N112*$AB112</f>
        <v/>
      </c>
      <c r="AA112" s="9">
        <f>O112*$AC112</f>
        <v/>
      </c>
      <c r="AB112" s="5">
        <f>VLOOKUP($E112,Tarifas!$B$4:$F$8,2,0)</f>
        <v/>
      </c>
      <c r="AC112" s="5">
        <f>VLOOKUP($E112,Tarifas!$B$4:$F$8,3,0)</f>
        <v/>
      </c>
    </row>
    <row r="113">
      <c r="A113" t="inlineStr">
        <is>
          <t>PIPE-01</t>
        </is>
      </c>
      <c r="B113" t="inlineStr">
        <is>
          <t>Automatizacion de pipeline/scripts/tools</t>
        </is>
      </c>
      <c r="C113" t="inlineStr">
        <is>
          <t>pipeline</t>
        </is>
      </c>
      <c r="D113" t="inlineStr">
        <is>
          <t>Script utilitario CLI (batch export/rename/conversion)</t>
        </is>
      </c>
      <c r="E113" t="inlineStr">
        <is>
          <t>RC-WEB</t>
        </is>
      </c>
      <c r="F113" s="8" t="n">
        <v>0</v>
      </c>
      <c r="G113" s="8" t="n">
        <v>0</v>
      </c>
      <c r="H113" s="8" t="n">
        <v>4</v>
      </c>
      <c r="I113" s="8" t="n">
        <v>12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R113" s="9">
        <f>F113*$AB113</f>
        <v/>
      </c>
      <c r="S113" s="9">
        <f>G113*$AC113</f>
        <v/>
      </c>
      <c r="T113" s="9">
        <f>H113*$AB113</f>
        <v/>
      </c>
      <c r="U113" s="9">
        <f>I113*$AC113</f>
        <v/>
      </c>
      <c r="V113" s="9">
        <f>J113*$AB113</f>
        <v/>
      </c>
      <c r="W113" s="9">
        <f>K113*$AC113</f>
        <v/>
      </c>
      <c r="X113" s="9">
        <f>L113*$AB113</f>
        <v/>
      </c>
      <c r="Y113" s="9">
        <f>M113*$AC113</f>
        <v/>
      </c>
      <c r="Z113" s="9">
        <f>N113*$AB113</f>
        <v/>
      </c>
      <c r="AA113" s="9">
        <f>O113*$AC113</f>
        <v/>
      </c>
      <c r="AB113" s="5">
        <f>VLOOKUP($E113,Tarifas!$B$4:$F$8,2,0)</f>
        <v/>
      </c>
      <c r="AC113" s="5">
        <f>VLOOKUP($E113,Tarifas!$B$4:$F$8,3,0)</f>
        <v/>
      </c>
    </row>
    <row r="114">
      <c r="A114" t="inlineStr">
        <is>
          <t>PIPE-01</t>
        </is>
      </c>
      <c r="B114" t="inlineStr">
        <is>
          <t>Automatizacion de pipeline/scripts/tools</t>
        </is>
      </c>
      <c r="C114" t="inlineStr">
        <is>
          <t>pipeline</t>
        </is>
      </c>
      <c r="D114" t="inlineStr">
        <is>
          <t>Tool con UI (panel/presets/validaciones)</t>
        </is>
      </c>
      <c r="E114" t="inlineStr">
        <is>
          <t>RC-WEB</t>
        </is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12</v>
      </c>
      <c r="K114" s="8" t="n">
        <v>30</v>
      </c>
      <c r="L114" s="8" t="n">
        <v>0</v>
      </c>
      <c r="M114" s="8" t="n">
        <v>0</v>
      </c>
      <c r="N114" s="8" t="n">
        <v>0</v>
      </c>
      <c r="O114" s="8" t="n">
        <v>0</v>
      </c>
      <c r="R114" s="9">
        <f>F114*$AB114</f>
        <v/>
      </c>
      <c r="S114" s="9">
        <f>G114*$AC114</f>
        <v/>
      </c>
      <c r="T114" s="9">
        <f>H114*$AB114</f>
        <v/>
      </c>
      <c r="U114" s="9">
        <f>I114*$AC114</f>
        <v/>
      </c>
      <c r="V114" s="9">
        <f>J114*$AB114</f>
        <v/>
      </c>
      <c r="W114" s="9">
        <f>K114*$AC114</f>
        <v/>
      </c>
      <c r="X114" s="9">
        <f>L114*$AB114</f>
        <v/>
      </c>
      <c r="Y114" s="9">
        <f>M114*$AC114</f>
        <v/>
      </c>
      <c r="Z114" s="9">
        <f>N114*$AB114</f>
        <v/>
      </c>
      <c r="AA114" s="9">
        <f>O114*$AC114</f>
        <v/>
      </c>
      <c r="AB114" s="5">
        <f>VLOOKUP($E114,Tarifas!$B$4:$F$8,2,0)</f>
        <v/>
      </c>
      <c r="AC114" s="5">
        <f>VLOOKUP($E114,Tarifas!$B$4:$F$8,3,0)</f>
        <v/>
      </c>
    </row>
    <row r="115">
      <c r="A115" t="inlineStr">
        <is>
          <t>PIPE-01</t>
        </is>
      </c>
      <c r="B115" t="inlineStr">
        <is>
          <t>Automatizacion de pipeline/scripts/tools</t>
        </is>
      </c>
      <c r="C115" t="inlineStr">
        <is>
          <t>pipeline</t>
        </is>
      </c>
      <c r="D115" t="inlineStr">
        <is>
          <t>Pipeline completo end-to-end documentado + QA auto</t>
        </is>
      </c>
      <c r="E115" t="inlineStr">
        <is>
          <t>RC-AI</t>
        </is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30</v>
      </c>
      <c r="M115" s="8" t="n">
        <v>80</v>
      </c>
      <c r="N115" s="8" t="n">
        <v>36</v>
      </c>
      <c r="O115" s="8" t="n">
        <v>96</v>
      </c>
      <c r="R115" s="9">
        <f>F115*$AB115</f>
        <v/>
      </c>
      <c r="S115" s="9">
        <f>G115*$AC115</f>
        <v/>
      </c>
      <c r="T115" s="9">
        <f>H115*$AB115</f>
        <v/>
      </c>
      <c r="U115" s="9">
        <f>I115*$AC115</f>
        <v/>
      </c>
      <c r="V115" s="9">
        <f>J115*$AB115</f>
        <v/>
      </c>
      <c r="W115" s="9">
        <f>K115*$AC115</f>
        <v/>
      </c>
      <c r="X115" s="9">
        <f>L115*$AB115</f>
        <v/>
      </c>
      <c r="Y115" s="9">
        <f>M115*$AC115</f>
        <v/>
      </c>
      <c r="Z115" s="9">
        <f>N115*$AB115</f>
        <v/>
      </c>
      <c r="AA115" s="9">
        <f>O115*$AC115</f>
        <v/>
      </c>
      <c r="AB115" s="5">
        <f>VLOOKUP($E115,Tarifas!$B$4:$F$8,2,0)</f>
        <v/>
      </c>
      <c r="AC115" s="5">
        <f>VLOOKUP($E115,Tarifas!$B$4:$F$8,3,0)</f>
        <v/>
      </c>
    </row>
  </sheetData>
  <autoFilter ref="A1:AA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</cols>
  <sheetData>
    <row r="1">
      <c r="A1" s="4" t="inlineStr">
        <is>
          <t>ID</t>
        </is>
      </c>
      <c r="B1" s="4" t="inlineStr">
        <is>
          <t>Servicio</t>
        </is>
      </c>
      <c r="C1" s="4" t="inlineStr">
        <is>
          <t>Familia</t>
        </is>
      </c>
      <c r="D1" s="4" t="inlineStr">
        <is>
          <t>Entrega (d)</t>
        </is>
      </c>
      <c r="E1" s="4" t="inlineStr">
        <is>
          <t>XS h min</t>
        </is>
      </c>
      <c r="F1" s="4" t="inlineStr">
        <is>
          <t>XS h max</t>
        </is>
      </c>
      <c r="G1" s="4" t="inlineStr">
        <is>
          <t>XS COP min</t>
        </is>
      </c>
      <c r="H1" s="4" t="inlineStr">
        <is>
          <t>XS COP max</t>
        </is>
      </c>
      <c r="I1" s="4" t="inlineStr">
        <is>
          <t>S h min</t>
        </is>
      </c>
      <c r="J1" s="4" t="inlineStr">
        <is>
          <t>S h max</t>
        </is>
      </c>
      <c r="K1" s="4" t="inlineStr">
        <is>
          <t>S COP min</t>
        </is>
      </c>
      <c r="L1" s="4" t="inlineStr">
        <is>
          <t>S COP max</t>
        </is>
      </c>
      <c r="M1" s="4" t="inlineStr">
        <is>
          <t>M h min</t>
        </is>
      </c>
      <c r="N1" s="4" t="inlineStr">
        <is>
          <t>M h max</t>
        </is>
      </c>
      <c r="O1" s="4" t="inlineStr">
        <is>
          <t>M COP min</t>
        </is>
      </c>
      <c r="P1" s="4" t="inlineStr">
        <is>
          <t>M COP max</t>
        </is>
      </c>
      <c r="Q1" s="4" t="inlineStr">
        <is>
          <t>L h min</t>
        </is>
      </c>
      <c r="R1" s="4" t="inlineStr">
        <is>
          <t>L h max</t>
        </is>
      </c>
      <c r="S1" s="4" t="inlineStr">
        <is>
          <t>L COP min</t>
        </is>
      </c>
      <c r="T1" s="4" t="inlineStr">
        <is>
          <t>L COP max</t>
        </is>
      </c>
      <c r="U1" s="4" t="inlineStr">
        <is>
          <t>XL h min</t>
        </is>
      </c>
      <c r="V1" s="4" t="inlineStr">
        <is>
          <t>XL h max</t>
        </is>
      </c>
      <c r="W1" s="4" t="inlineStr">
        <is>
          <t>XL COP min</t>
        </is>
      </c>
      <c r="X1" s="4" t="inlineStr">
        <is>
          <t>XL COP max</t>
        </is>
      </c>
      <c r="Y1" s="4" t="inlineStr">
        <is>
          <t>Desde (COP, S)</t>
        </is>
      </c>
      <c r="AA1" s="10" t="inlineStr">
        <is>
          <t>XS RAW min</t>
        </is>
      </c>
      <c r="AB1" s="10" t="inlineStr">
        <is>
          <t>XS RAW max</t>
        </is>
      </c>
      <c r="AC1" s="10" t="inlineStr">
        <is>
          <t>S RAW min</t>
        </is>
      </c>
      <c r="AD1" s="10" t="inlineStr">
        <is>
          <t>S RAW max</t>
        </is>
      </c>
      <c r="AE1" s="10" t="inlineStr">
        <is>
          <t>M RAW min</t>
        </is>
      </c>
      <c r="AF1" s="10" t="inlineStr">
        <is>
          <t>M RAW max</t>
        </is>
      </c>
      <c r="AG1" s="10" t="inlineStr">
        <is>
          <t>L RAW min</t>
        </is>
      </c>
      <c r="AH1" s="10" t="inlineStr">
        <is>
          <t>L RAW max</t>
        </is>
      </c>
      <c r="AI1" s="10" t="inlineStr">
        <is>
          <t>XL RAW min</t>
        </is>
      </c>
      <c r="AJ1" s="10" t="inlineStr">
        <is>
          <t>XL RAW max</t>
        </is>
      </c>
    </row>
    <row r="2">
      <c r="A2" t="inlineStr">
        <is>
          <t>RND-01</t>
        </is>
      </c>
      <c r="B2" t="inlineStr">
        <is>
          <t>Render 3D estatico</t>
        </is>
      </c>
      <c r="C2" t="inlineStr">
        <is>
          <t>render</t>
        </is>
      </c>
      <c r="D2" t="inlineStr">
        <is>
          <t>1-14</t>
        </is>
      </c>
      <c r="E2" s="11">
        <f>IF(SUMIFS(Catálogo!$F:$F,Catálogo!$A:$A,$A2)=0,SUMIFS(Catálogo!$H:$H,Catálogo!$A:$A,$A2),SUMIFS(Catálogo!$F:$F,Catálogo!$A:$A,$A2))</f>
        <v/>
      </c>
      <c r="F2" s="11">
        <f>IF(SUMIFS(Catálogo!$G:$G,Catálogo!$A:$A,$A2)=0,SUMIFS(Catálogo!$I:$I,Catálogo!$A:$A,$A2),SUMIFS(Catálogo!$G:$G,Catálogo!$A:$A,$A2))</f>
        <v/>
      </c>
      <c r="G2" s="5">
        <f>IF(SUMIFS(Catálogo!$F:$F,Catálogo!$A:$A,$A2)=0,MAX(FLOOR(SUMIFS(Catálogo!$T:$T,Catálogo!$A:$A,$A2),1000),400000),MAX(FLOOR(SUMIFS(Catálogo!$R:$R,Catálogo!$A:$A,$A2),1000),400000))</f>
        <v/>
      </c>
      <c r="H2" s="5">
        <f>IF(SUMIFS(Catálogo!$G:$G,Catálogo!$A:$A,$A2)=0,MAX(CEILING(SUMIFS(Catálogo!$U:$U,Catálogo!$A:$A,$A2),1000),400000),MAX(CEILING(SUMIFS(Catálogo!$S:$S,Catálogo!$A:$A,$A2),1000),400000))</f>
        <v/>
      </c>
      <c r="I2" s="11">
        <f>SUMIFS(Catálogo!$H:$H,Catálogo!$A:$A,$A2)</f>
        <v/>
      </c>
      <c r="J2" s="11">
        <f>SUMIFS(Catálogo!$I:$I,Catálogo!$A:$A,$A2)</f>
        <v/>
      </c>
      <c r="K2" s="5">
        <f>MAX(FLOOR(SUMIFS(Catálogo!$T:T,Catálogo!$A:$A,$A2),1000),400000)</f>
        <v/>
      </c>
      <c r="L2" s="5">
        <f>MAX(CEILING(SUMIFS(Catálogo!$U:U,Catálogo!$A:$A,$A2),1000),400000)</f>
        <v/>
      </c>
      <c r="M2" s="11">
        <f>SUMIFS(Catálogo!$J:$J,Catálogo!$A:$A,$A2)</f>
        <v/>
      </c>
      <c r="N2" s="11">
        <f>SUMIFS(Catálogo!$K:$K,Catálogo!$A:$A,$A2)</f>
        <v/>
      </c>
      <c r="O2" s="5">
        <f>MAX(FLOOR(SUMIFS(Catálogo!$V:V,Catálogo!$A:$A,$A2),1000),400000)</f>
        <v/>
      </c>
      <c r="P2" s="5">
        <f>MAX(CEILING(SUMIFS(Catálogo!$W:W,Catálogo!$A:$A,$A2),1000),400000)</f>
        <v/>
      </c>
      <c r="Q2" s="11">
        <f>SUMIFS(Catálogo!$L:$L,Catálogo!$A:$A,$A2)</f>
        <v/>
      </c>
      <c r="R2" s="11">
        <f>SUMIFS(Catálogo!$M:$M,Catálogo!$A:$A,$A2)</f>
        <v/>
      </c>
      <c r="S2" s="5">
        <f>MAX(FLOOR(SUMIFS(Catálogo!$X:X,Catálogo!$A:$A,$A2),1000),400000)</f>
        <v/>
      </c>
      <c r="T2" s="5">
        <f>MAX(CEILING(SUMIFS(Catálogo!$Y:Y,Catálogo!$A:$A,$A2),1000),400000)</f>
        <v/>
      </c>
      <c r="U2" s="11">
        <f>SUMIFS(Catálogo!$N:$N,Catálogo!$A:$A,$A2)</f>
        <v/>
      </c>
      <c r="V2" s="11">
        <f>SUMIFS(Catálogo!$O:$O,Catálogo!$A:$A,$A2)</f>
        <v/>
      </c>
      <c r="W2" s="5">
        <f>MAX(FLOOR(SUMIFS(Catálogo!$Z:Z,Catálogo!$A:$A,$A2),1000),400000)</f>
        <v/>
      </c>
      <c r="X2" s="5">
        <f>MAX(CEILING(SUMIFS(Catálogo!$AA:AA,Catálogo!$A:$A,$A2),1000),400000)</f>
        <v/>
      </c>
      <c r="Y2" s="12">
        <f>K2</f>
        <v/>
      </c>
      <c r="AA2" s="5">
        <f>SUMIFS(Catálogo!$F:$F,Catálogo!$A:$A,$A2)</f>
        <v/>
      </c>
      <c r="AB2" s="5">
        <f>SUMIFS(Catálogo!$Z:Z,Catálogo!$A:$A,$A2)</f>
        <v/>
      </c>
      <c r="AC2" s="5">
        <f>SUMIFS(Catálogo!$H:$H,Catálogo!$A:$A,$A2)</f>
        <v/>
      </c>
      <c r="AD2" s="5">
        <f>SUMIFS(Catálogo!$Z:Z,Catálogo!$A:$A,$A2)</f>
        <v/>
      </c>
      <c r="AE2" s="5">
        <f>SUMIFS(Catálogo!$J:$J,Catálogo!$A:$A,$A2)</f>
        <v/>
      </c>
      <c r="AF2" s="5">
        <f>SUMIFS(Catálogo!$Z:Z,Catálogo!$A:$A,$A2)</f>
        <v/>
      </c>
      <c r="AG2" s="5">
        <f>SUMIFS(Catálogo!$L:$L,Catálogo!$A:$A,$A2)</f>
        <v/>
      </c>
      <c r="AH2" s="5">
        <f>SUMIFS(Catálogo!$Z:Z,Catálogo!$A:$A,$A2)</f>
        <v/>
      </c>
      <c r="AI2" s="5">
        <f>SUMIFS(Catálogo!$N:$N,Catálogo!$A:$A,$A2)</f>
        <v/>
      </c>
      <c r="AJ2" s="5">
        <f>SUMIFS(Catálogo!$Z:Z,Catálogo!$A:$A,$A2)</f>
        <v/>
      </c>
    </row>
    <row r="3">
      <c r="A3" t="inlineStr">
        <is>
          <t>RND-02</t>
        </is>
      </c>
      <c r="B3" t="inlineStr">
        <is>
          <t>Animacion 3D (render offline)</t>
        </is>
      </c>
      <c r="C3" t="inlineStr">
        <is>
          <t>render</t>
        </is>
      </c>
      <c r="D3" t="inlineStr">
        <is>
          <t>3-42</t>
        </is>
      </c>
      <c r="E3" s="11">
        <f>IF(SUMIFS(Catálogo!$F:$F,Catálogo!$A:$A,$A3)=0,SUMIFS(Catálogo!$H:$H,Catálogo!$A:$A,$A3),SUMIFS(Catálogo!$F:$F,Catálogo!$A:$A,$A3))</f>
        <v/>
      </c>
      <c r="F3" s="11">
        <f>IF(SUMIFS(Catálogo!$G:$G,Catálogo!$A:$A,$A3)=0,SUMIFS(Catálogo!$I:$I,Catálogo!$A:$A,$A3),SUMIFS(Catálogo!$G:$G,Catálogo!$A:$A,$A3))</f>
        <v/>
      </c>
      <c r="G3" s="5">
        <f>IF(SUMIFS(Catálogo!$F:$F,Catálogo!$A:$A,$A3)=0,MAX(FLOOR(SUMIFS(Catálogo!$T:$T,Catálogo!$A:$A,$A3),1000),400000),MAX(FLOOR(SUMIFS(Catálogo!$R:$R,Catálogo!$A:$A,$A3),1000),400000))</f>
        <v/>
      </c>
      <c r="H3" s="5">
        <f>IF(SUMIFS(Catálogo!$G:$G,Catálogo!$A:$A,$A3)=0,MAX(CEILING(SUMIFS(Catálogo!$U:$U,Catálogo!$A:$A,$A3),1000),400000),MAX(CEILING(SUMIFS(Catálogo!$S:$S,Catálogo!$A:$A,$A3),1000),400000))</f>
        <v/>
      </c>
      <c r="I3" s="11">
        <f>SUMIFS(Catálogo!$H:$H,Catálogo!$A:$A,$A3)</f>
        <v/>
      </c>
      <c r="J3" s="11">
        <f>SUMIFS(Catálogo!$I:$I,Catálogo!$A:$A,$A3)</f>
        <v/>
      </c>
      <c r="K3" s="5">
        <f>MAX(FLOOR(SUMIFS(Catálogo!$T:T,Catálogo!$A:$A,$A3),1000),400000)</f>
        <v/>
      </c>
      <c r="L3" s="5">
        <f>MAX(CEILING(SUMIFS(Catálogo!$U:U,Catálogo!$A:$A,$A3),1000),400000)</f>
        <v/>
      </c>
      <c r="M3" s="11">
        <f>SUMIFS(Catálogo!$J:$J,Catálogo!$A:$A,$A3)</f>
        <v/>
      </c>
      <c r="N3" s="11">
        <f>SUMIFS(Catálogo!$K:$K,Catálogo!$A:$A,$A3)</f>
        <v/>
      </c>
      <c r="O3" s="5">
        <f>MAX(FLOOR(SUMIFS(Catálogo!$V:V,Catálogo!$A:$A,$A3),1000),400000)</f>
        <v/>
      </c>
      <c r="P3" s="5">
        <f>MAX(CEILING(SUMIFS(Catálogo!$W:W,Catálogo!$A:$A,$A3),1000),400000)</f>
        <v/>
      </c>
      <c r="Q3" s="11">
        <f>SUMIFS(Catálogo!$L:$L,Catálogo!$A:$A,$A3)</f>
        <v/>
      </c>
      <c r="R3" s="11">
        <f>SUMIFS(Catálogo!$M:$M,Catálogo!$A:$A,$A3)</f>
        <v/>
      </c>
      <c r="S3" s="5">
        <f>MAX(FLOOR(SUMIFS(Catálogo!$X:X,Catálogo!$A:$A,$A3),1000),400000)</f>
        <v/>
      </c>
      <c r="T3" s="5">
        <f>MAX(CEILING(SUMIFS(Catálogo!$Y:Y,Catálogo!$A:$A,$A3),1000),400000)</f>
        <v/>
      </c>
      <c r="U3" s="11">
        <f>SUMIFS(Catálogo!$N:$N,Catálogo!$A:$A,$A3)</f>
        <v/>
      </c>
      <c r="V3" s="11">
        <f>SUMIFS(Catálogo!$O:$O,Catálogo!$A:$A,$A3)</f>
        <v/>
      </c>
      <c r="W3" s="5">
        <f>MAX(FLOOR(SUMIFS(Catálogo!$Z:Z,Catálogo!$A:$A,$A3),1000),400000)</f>
        <v/>
      </c>
      <c r="X3" s="5">
        <f>MAX(CEILING(SUMIFS(Catálogo!$AA:AA,Catálogo!$A:$A,$A3),1000),400000)</f>
        <v/>
      </c>
      <c r="Y3" s="12">
        <f>K3</f>
        <v/>
      </c>
      <c r="AA3" s="5">
        <f>SUMIFS(Catálogo!$F:$F,Catálogo!$A:$A,$A3)</f>
        <v/>
      </c>
      <c r="AB3" s="5">
        <f>SUMIFS(Catálogo!$Z:Z,Catálogo!$A:$A,$A3)</f>
        <v/>
      </c>
      <c r="AC3" s="5">
        <f>SUMIFS(Catálogo!$H:$H,Catálogo!$A:$A,$A3)</f>
        <v/>
      </c>
      <c r="AD3" s="5">
        <f>SUMIFS(Catálogo!$Z:Z,Catálogo!$A:$A,$A3)</f>
        <v/>
      </c>
      <c r="AE3" s="5">
        <f>SUMIFS(Catálogo!$J:$J,Catálogo!$A:$A,$A3)</f>
        <v/>
      </c>
      <c r="AF3" s="5">
        <f>SUMIFS(Catálogo!$Z:Z,Catálogo!$A:$A,$A3)</f>
        <v/>
      </c>
      <c r="AG3" s="5">
        <f>SUMIFS(Catálogo!$L:$L,Catálogo!$A:$A,$A3)</f>
        <v/>
      </c>
      <c r="AH3" s="5">
        <f>SUMIFS(Catálogo!$Z:Z,Catálogo!$A:$A,$A3)</f>
        <v/>
      </c>
      <c r="AI3" s="5">
        <f>SUMIFS(Catálogo!$N:$N,Catálogo!$A:$A,$A3)</f>
        <v/>
      </c>
      <c r="AJ3" s="5">
        <f>SUMIFS(Catálogo!$Z:Z,Catálogo!$A:$A,$A3)</f>
        <v/>
      </c>
    </row>
    <row r="4">
      <c r="A4" t="inlineStr">
        <is>
          <t>RTA-01</t>
        </is>
      </c>
      <c r="B4" t="inlineStr">
        <is>
          <t>Asset 3D realtime estatico</t>
        </is>
      </c>
      <c r="C4" t="inlineStr">
        <is>
          <t>asset-rt</t>
        </is>
      </c>
      <c r="D4" t="inlineStr">
        <is>
          <t>1-42</t>
        </is>
      </c>
      <c r="E4" s="11">
        <f>IF(SUMIFS(Catálogo!$F:$F,Catálogo!$A:$A,$A4)=0,SUMIFS(Catálogo!$H:$H,Catálogo!$A:$A,$A4),SUMIFS(Catálogo!$F:$F,Catálogo!$A:$A,$A4))</f>
        <v/>
      </c>
      <c r="F4" s="11">
        <f>IF(SUMIFS(Catálogo!$G:$G,Catálogo!$A:$A,$A4)=0,SUMIFS(Catálogo!$I:$I,Catálogo!$A:$A,$A4),SUMIFS(Catálogo!$G:$G,Catálogo!$A:$A,$A4))</f>
        <v/>
      </c>
      <c r="G4" s="5">
        <f>IF(SUMIFS(Catálogo!$F:$F,Catálogo!$A:$A,$A4)=0,MAX(FLOOR(SUMIFS(Catálogo!$T:$T,Catálogo!$A:$A,$A4),1000),400000),MAX(FLOOR(SUMIFS(Catálogo!$R:$R,Catálogo!$A:$A,$A4),1000),400000))</f>
        <v/>
      </c>
      <c r="H4" s="5">
        <f>IF(SUMIFS(Catálogo!$G:$G,Catálogo!$A:$A,$A4)=0,MAX(CEILING(SUMIFS(Catálogo!$U:$U,Catálogo!$A:$A,$A4),1000),400000),MAX(CEILING(SUMIFS(Catálogo!$S:$S,Catálogo!$A:$A,$A4),1000),400000))</f>
        <v/>
      </c>
      <c r="I4" s="11">
        <f>SUMIFS(Catálogo!$H:$H,Catálogo!$A:$A,$A4)</f>
        <v/>
      </c>
      <c r="J4" s="11">
        <f>SUMIFS(Catálogo!$I:$I,Catálogo!$A:$A,$A4)</f>
        <v/>
      </c>
      <c r="K4" s="5">
        <f>MAX(FLOOR(SUMIFS(Catálogo!$T:T,Catálogo!$A:$A,$A4),1000),400000)</f>
        <v/>
      </c>
      <c r="L4" s="5">
        <f>MAX(CEILING(SUMIFS(Catálogo!$U:U,Catálogo!$A:$A,$A4),1000),400000)</f>
        <v/>
      </c>
      <c r="M4" s="11">
        <f>SUMIFS(Catálogo!$J:$J,Catálogo!$A:$A,$A4)</f>
        <v/>
      </c>
      <c r="N4" s="11">
        <f>SUMIFS(Catálogo!$K:$K,Catálogo!$A:$A,$A4)</f>
        <v/>
      </c>
      <c r="O4" s="5">
        <f>MAX(FLOOR(SUMIFS(Catálogo!$V:V,Catálogo!$A:$A,$A4),1000),400000)</f>
        <v/>
      </c>
      <c r="P4" s="5">
        <f>MAX(CEILING(SUMIFS(Catálogo!$W:W,Catálogo!$A:$A,$A4),1000),400000)</f>
        <v/>
      </c>
      <c r="Q4" s="11">
        <f>SUMIFS(Catálogo!$L:$L,Catálogo!$A:$A,$A4)</f>
        <v/>
      </c>
      <c r="R4" s="11">
        <f>SUMIFS(Catálogo!$M:$M,Catálogo!$A:$A,$A4)</f>
        <v/>
      </c>
      <c r="S4" s="5">
        <f>MAX(FLOOR(SUMIFS(Catálogo!$X:X,Catálogo!$A:$A,$A4),1000),400000)</f>
        <v/>
      </c>
      <c r="T4" s="5">
        <f>MAX(CEILING(SUMIFS(Catálogo!$Y:Y,Catálogo!$A:$A,$A4),1000),400000)</f>
        <v/>
      </c>
      <c r="U4" s="11">
        <f>SUMIFS(Catálogo!$N:$N,Catálogo!$A:$A,$A4)</f>
        <v/>
      </c>
      <c r="V4" s="11">
        <f>SUMIFS(Catálogo!$O:$O,Catálogo!$A:$A,$A4)</f>
        <v/>
      </c>
      <c r="W4" s="5">
        <f>MAX(FLOOR(SUMIFS(Catálogo!$Z:Z,Catálogo!$A:$A,$A4),1000),400000)</f>
        <v/>
      </c>
      <c r="X4" s="5">
        <f>MAX(CEILING(SUMIFS(Catálogo!$AA:AA,Catálogo!$A:$A,$A4),1000),400000)</f>
        <v/>
      </c>
      <c r="Y4" s="12">
        <f>K4</f>
        <v/>
      </c>
      <c r="AA4" s="5">
        <f>SUMIFS(Catálogo!$F:$F,Catálogo!$A:$A,$A4)</f>
        <v/>
      </c>
      <c r="AB4" s="5">
        <f>SUMIFS(Catálogo!$Z:Z,Catálogo!$A:$A,$A4)</f>
        <v/>
      </c>
      <c r="AC4" s="5">
        <f>SUMIFS(Catálogo!$H:$H,Catálogo!$A:$A,$A4)</f>
        <v/>
      </c>
      <c r="AD4" s="5">
        <f>SUMIFS(Catálogo!$Z:Z,Catálogo!$A:$A,$A4)</f>
        <v/>
      </c>
      <c r="AE4" s="5">
        <f>SUMIFS(Catálogo!$J:$J,Catálogo!$A:$A,$A4)</f>
        <v/>
      </c>
      <c r="AF4" s="5">
        <f>SUMIFS(Catálogo!$Z:Z,Catálogo!$A:$A,$A4)</f>
        <v/>
      </c>
      <c r="AG4" s="5">
        <f>SUMIFS(Catálogo!$L:$L,Catálogo!$A:$A,$A4)</f>
        <v/>
      </c>
      <c r="AH4" s="5">
        <f>SUMIFS(Catálogo!$Z:Z,Catálogo!$A:$A,$A4)</f>
        <v/>
      </c>
      <c r="AI4" s="5">
        <f>SUMIFS(Catálogo!$N:$N,Catálogo!$A:$A,$A4)</f>
        <v/>
      </c>
      <c r="AJ4" s="5">
        <f>SUMIFS(Catálogo!$Z:Z,Catálogo!$A:$A,$A4)</f>
        <v/>
      </c>
    </row>
    <row r="5">
      <c r="A5" t="inlineStr">
        <is>
          <t>RTA-02</t>
        </is>
      </c>
      <c r="B5" t="inlineStr">
        <is>
          <t>Asset RT interactuable (hotspots)</t>
        </is>
      </c>
      <c r="C5" t="inlineStr">
        <is>
          <t>asset-rt</t>
        </is>
      </c>
      <c r="D5" t="inlineStr">
        <is>
          <t>2-49</t>
        </is>
      </c>
      <c r="E5" s="11">
        <f>IF(SUMIFS(Catálogo!$F:$F,Catálogo!$A:$A,$A5)=0,SUMIFS(Catálogo!$H:$H,Catálogo!$A:$A,$A5),SUMIFS(Catálogo!$F:$F,Catálogo!$A:$A,$A5))</f>
        <v/>
      </c>
      <c r="F5" s="11">
        <f>IF(SUMIFS(Catálogo!$G:$G,Catálogo!$A:$A,$A5)=0,SUMIFS(Catálogo!$I:$I,Catálogo!$A:$A,$A5),SUMIFS(Catálogo!$G:$G,Catálogo!$A:$A,$A5))</f>
        <v/>
      </c>
      <c r="G5" s="5">
        <f>IF(SUMIFS(Catálogo!$F:$F,Catálogo!$A:$A,$A5)=0,MAX(FLOOR(SUMIFS(Catálogo!$T:$T,Catálogo!$A:$A,$A5),1000),400000),MAX(FLOOR(SUMIFS(Catálogo!$R:$R,Catálogo!$A:$A,$A5),1000),400000))</f>
        <v/>
      </c>
      <c r="H5" s="5">
        <f>IF(SUMIFS(Catálogo!$G:$G,Catálogo!$A:$A,$A5)=0,MAX(CEILING(SUMIFS(Catálogo!$U:$U,Catálogo!$A:$A,$A5),1000),400000),MAX(CEILING(SUMIFS(Catálogo!$S:$S,Catálogo!$A:$A,$A5),1000),400000))</f>
        <v/>
      </c>
      <c r="I5" s="11">
        <f>SUMIFS(Catálogo!$H:$H,Catálogo!$A:$A,$A5)</f>
        <v/>
      </c>
      <c r="J5" s="11">
        <f>SUMIFS(Catálogo!$I:$I,Catálogo!$A:$A,$A5)</f>
        <v/>
      </c>
      <c r="K5" s="5">
        <f>MAX(FLOOR(SUMIFS(Catálogo!$T:T,Catálogo!$A:$A,$A5),1000),400000)</f>
        <v/>
      </c>
      <c r="L5" s="5">
        <f>MAX(CEILING(SUMIFS(Catálogo!$U:U,Catálogo!$A:$A,$A5),1000),400000)</f>
        <v/>
      </c>
      <c r="M5" s="11">
        <f>SUMIFS(Catálogo!$J:$J,Catálogo!$A:$A,$A5)</f>
        <v/>
      </c>
      <c r="N5" s="11">
        <f>SUMIFS(Catálogo!$K:$K,Catálogo!$A:$A,$A5)</f>
        <v/>
      </c>
      <c r="O5" s="5">
        <f>MAX(FLOOR(SUMIFS(Catálogo!$V:V,Catálogo!$A:$A,$A5),1000),400000)</f>
        <v/>
      </c>
      <c r="P5" s="5">
        <f>MAX(CEILING(SUMIFS(Catálogo!$W:W,Catálogo!$A:$A,$A5),1000),400000)</f>
        <v/>
      </c>
      <c r="Q5" s="11">
        <f>SUMIFS(Catálogo!$L:$L,Catálogo!$A:$A,$A5)</f>
        <v/>
      </c>
      <c r="R5" s="11">
        <f>SUMIFS(Catálogo!$M:$M,Catálogo!$A:$A,$A5)</f>
        <v/>
      </c>
      <c r="S5" s="5">
        <f>MAX(FLOOR(SUMIFS(Catálogo!$X:X,Catálogo!$A:$A,$A5),1000),400000)</f>
        <v/>
      </c>
      <c r="T5" s="5">
        <f>MAX(CEILING(SUMIFS(Catálogo!$Y:Y,Catálogo!$A:$A,$A5),1000),400000)</f>
        <v/>
      </c>
      <c r="U5" s="11">
        <f>SUMIFS(Catálogo!$N:$N,Catálogo!$A:$A,$A5)</f>
        <v/>
      </c>
      <c r="V5" s="11">
        <f>SUMIFS(Catálogo!$O:$O,Catálogo!$A:$A,$A5)</f>
        <v/>
      </c>
      <c r="W5" s="5">
        <f>MAX(FLOOR(SUMIFS(Catálogo!$Z:Z,Catálogo!$A:$A,$A5),1000),400000)</f>
        <v/>
      </c>
      <c r="X5" s="5">
        <f>MAX(CEILING(SUMIFS(Catálogo!$AA:AA,Catálogo!$A:$A,$A5),1000),400000)</f>
        <v/>
      </c>
      <c r="Y5" s="12">
        <f>K5</f>
        <v/>
      </c>
      <c r="AA5" s="5">
        <f>SUMIFS(Catálogo!$F:$F,Catálogo!$A:$A,$A5)</f>
        <v/>
      </c>
      <c r="AB5" s="5">
        <f>SUMIFS(Catálogo!$Z:Z,Catálogo!$A:$A,$A5)</f>
        <v/>
      </c>
      <c r="AC5" s="5">
        <f>SUMIFS(Catálogo!$H:$H,Catálogo!$A:$A,$A5)</f>
        <v/>
      </c>
      <c r="AD5" s="5">
        <f>SUMIFS(Catálogo!$Z:Z,Catálogo!$A:$A,$A5)</f>
        <v/>
      </c>
      <c r="AE5" s="5">
        <f>SUMIFS(Catálogo!$J:$J,Catálogo!$A:$A,$A5)</f>
        <v/>
      </c>
      <c r="AF5" s="5">
        <f>SUMIFS(Catálogo!$Z:Z,Catálogo!$A:$A,$A5)</f>
        <v/>
      </c>
      <c r="AG5" s="5">
        <f>SUMIFS(Catálogo!$L:$L,Catálogo!$A:$A,$A5)</f>
        <v/>
      </c>
      <c r="AH5" s="5">
        <f>SUMIFS(Catálogo!$Z:Z,Catálogo!$A:$A,$A5)</f>
        <v/>
      </c>
      <c r="AI5" s="5">
        <f>SUMIFS(Catálogo!$N:$N,Catálogo!$A:$A,$A5)</f>
        <v/>
      </c>
      <c r="AJ5" s="5">
        <f>SUMIFS(Catálogo!$Z:Z,Catálogo!$A:$A,$A5)</f>
        <v/>
      </c>
    </row>
    <row r="6">
      <c r="A6" t="inlineStr">
        <is>
          <t>CAD-01</t>
        </is>
      </c>
      <c r="B6" t="inlineStr">
        <is>
          <t>CAD a WebGL ready (servicio insignia)</t>
        </is>
      </c>
      <c r="C6" t="inlineStr">
        <is>
          <t>datos</t>
        </is>
      </c>
      <c r="D6" t="inlineStr">
        <is>
          <t>1-70</t>
        </is>
      </c>
      <c r="E6" s="11">
        <f>IF(SUMIFS(Catálogo!$F:$F,Catálogo!$A:$A,$A6)=0,SUMIFS(Catálogo!$H:$H,Catálogo!$A:$A,$A6),SUMIFS(Catálogo!$F:$F,Catálogo!$A:$A,$A6))</f>
        <v/>
      </c>
      <c r="F6" s="11">
        <f>IF(SUMIFS(Catálogo!$G:$G,Catálogo!$A:$A,$A6)=0,SUMIFS(Catálogo!$I:$I,Catálogo!$A:$A,$A6),SUMIFS(Catálogo!$G:$G,Catálogo!$A:$A,$A6))</f>
        <v/>
      </c>
      <c r="G6" s="5">
        <f>IF(SUMIFS(Catálogo!$F:$F,Catálogo!$A:$A,$A6)=0,MAX(FLOOR(SUMIFS(Catálogo!$T:$T,Catálogo!$A:$A,$A6),1000),400000),MAX(FLOOR(SUMIFS(Catálogo!$R:$R,Catálogo!$A:$A,$A6),1000),400000))</f>
        <v/>
      </c>
      <c r="H6" s="5">
        <f>IF(SUMIFS(Catálogo!$G:$G,Catálogo!$A:$A,$A6)=0,MAX(CEILING(SUMIFS(Catálogo!$U:$U,Catálogo!$A:$A,$A6),1000),400000),MAX(CEILING(SUMIFS(Catálogo!$S:$S,Catálogo!$A:$A,$A6),1000),400000))</f>
        <v/>
      </c>
      <c r="I6" s="11">
        <f>SUMIFS(Catálogo!$H:$H,Catálogo!$A:$A,$A6)</f>
        <v/>
      </c>
      <c r="J6" s="11">
        <f>SUMIFS(Catálogo!$I:$I,Catálogo!$A:$A,$A6)</f>
        <v/>
      </c>
      <c r="K6" s="5">
        <f>MAX(FLOOR(SUMIFS(Catálogo!$T:T,Catálogo!$A:$A,$A6),1000),400000)</f>
        <v/>
      </c>
      <c r="L6" s="5">
        <f>MAX(CEILING(SUMIFS(Catálogo!$U:U,Catálogo!$A:$A,$A6),1000),400000)</f>
        <v/>
      </c>
      <c r="M6" s="11">
        <f>SUMIFS(Catálogo!$J:$J,Catálogo!$A:$A,$A6)</f>
        <v/>
      </c>
      <c r="N6" s="11">
        <f>SUMIFS(Catálogo!$K:$K,Catálogo!$A:$A,$A6)</f>
        <v/>
      </c>
      <c r="O6" s="5">
        <f>MAX(FLOOR(SUMIFS(Catálogo!$V:V,Catálogo!$A:$A,$A6),1000),400000)</f>
        <v/>
      </c>
      <c r="P6" s="5">
        <f>MAX(CEILING(SUMIFS(Catálogo!$W:W,Catálogo!$A:$A,$A6),1000),400000)</f>
        <v/>
      </c>
      <c r="Q6" s="11">
        <f>SUMIFS(Catálogo!$L:$L,Catálogo!$A:$A,$A6)</f>
        <v/>
      </c>
      <c r="R6" s="11">
        <f>SUMIFS(Catálogo!$M:$M,Catálogo!$A:$A,$A6)</f>
        <v/>
      </c>
      <c r="S6" s="5">
        <f>MAX(FLOOR(SUMIFS(Catálogo!$X:X,Catálogo!$A:$A,$A6),1000),400000)</f>
        <v/>
      </c>
      <c r="T6" s="5">
        <f>MAX(CEILING(SUMIFS(Catálogo!$Y:Y,Catálogo!$A:$A,$A6),1000),400000)</f>
        <v/>
      </c>
      <c r="U6" s="11">
        <f>SUMIFS(Catálogo!$N:$N,Catálogo!$A:$A,$A6)</f>
        <v/>
      </c>
      <c r="V6" s="11">
        <f>SUMIFS(Catálogo!$O:$O,Catálogo!$A:$A,$A6)</f>
        <v/>
      </c>
      <c r="W6" s="5">
        <f>MAX(FLOOR(SUMIFS(Catálogo!$Z:Z,Catálogo!$A:$A,$A6),1000),400000)</f>
        <v/>
      </c>
      <c r="X6" s="5">
        <f>MAX(CEILING(SUMIFS(Catálogo!$AA:AA,Catálogo!$A:$A,$A6),1000),400000)</f>
        <v/>
      </c>
      <c r="Y6" s="12">
        <f>K6</f>
        <v/>
      </c>
      <c r="AA6" s="5">
        <f>SUMIFS(Catálogo!$F:$F,Catálogo!$A:$A,$A6)</f>
        <v/>
      </c>
      <c r="AB6" s="5">
        <f>SUMIFS(Catálogo!$Z:Z,Catálogo!$A:$A,$A6)</f>
        <v/>
      </c>
      <c r="AC6" s="5">
        <f>SUMIFS(Catálogo!$H:$H,Catálogo!$A:$A,$A6)</f>
        <v/>
      </c>
      <c r="AD6" s="5">
        <f>SUMIFS(Catálogo!$Z:Z,Catálogo!$A:$A,$A6)</f>
        <v/>
      </c>
      <c r="AE6" s="5">
        <f>SUMIFS(Catálogo!$J:$J,Catálogo!$A:$A,$A6)</f>
        <v/>
      </c>
      <c r="AF6" s="5">
        <f>SUMIFS(Catálogo!$Z:Z,Catálogo!$A:$A,$A6)</f>
        <v/>
      </c>
      <c r="AG6" s="5">
        <f>SUMIFS(Catálogo!$L:$L,Catálogo!$A:$A,$A6)</f>
        <v/>
      </c>
      <c r="AH6" s="5">
        <f>SUMIFS(Catálogo!$Z:Z,Catálogo!$A:$A,$A6)</f>
        <v/>
      </c>
      <c r="AI6" s="5">
        <f>SUMIFS(Catálogo!$N:$N,Catálogo!$A:$A,$A6)</f>
        <v/>
      </c>
      <c r="AJ6" s="5">
        <f>SUMIFS(Catálogo!$Z:Z,Catálogo!$A:$A,$A6)</f>
        <v/>
      </c>
    </row>
    <row r="7">
      <c r="A7" t="inlineStr">
        <is>
          <t>WEB-01</t>
        </is>
      </c>
      <c r="B7" t="inlineStr">
        <is>
          <t>Visor custom three.js / Babylon.js</t>
        </is>
      </c>
      <c r="C7" t="inlineStr">
        <is>
          <t>web-3d</t>
        </is>
      </c>
      <c r="D7" t="inlineStr">
        <is>
          <t>2-21</t>
        </is>
      </c>
      <c r="E7" s="11">
        <f>IF(SUMIFS(Catálogo!$F:$F,Catálogo!$A:$A,$A7)=0,SUMIFS(Catálogo!$H:$H,Catálogo!$A:$A,$A7),SUMIFS(Catálogo!$F:$F,Catálogo!$A:$A,$A7))</f>
        <v/>
      </c>
      <c r="F7" s="11">
        <f>IF(SUMIFS(Catálogo!$G:$G,Catálogo!$A:$A,$A7)=0,SUMIFS(Catálogo!$I:$I,Catálogo!$A:$A,$A7),SUMIFS(Catálogo!$G:$G,Catálogo!$A:$A,$A7))</f>
        <v/>
      </c>
      <c r="G7" s="5">
        <f>IF(SUMIFS(Catálogo!$F:$F,Catálogo!$A:$A,$A7)=0,MAX(FLOOR(SUMIFS(Catálogo!$T:$T,Catálogo!$A:$A,$A7),1000),400000),MAX(FLOOR(SUMIFS(Catálogo!$R:$R,Catálogo!$A:$A,$A7),1000),400000))</f>
        <v/>
      </c>
      <c r="H7" s="5">
        <f>IF(SUMIFS(Catálogo!$G:$G,Catálogo!$A:$A,$A7)=0,MAX(CEILING(SUMIFS(Catálogo!$U:$U,Catálogo!$A:$A,$A7),1000),400000),MAX(CEILING(SUMIFS(Catálogo!$S:$S,Catálogo!$A:$A,$A7),1000),400000))</f>
        <v/>
      </c>
      <c r="I7" s="11">
        <f>SUMIFS(Catálogo!$H:$H,Catálogo!$A:$A,$A7)</f>
        <v/>
      </c>
      <c r="J7" s="11">
        <f>SUMIFS(Catálogo!$I:$I,Catálogo!$A:$A,$A7)</f>
        <v/>
      </c>
      <c r="K7" s="5">
        <f>MAX(FLOOR(SUMIFS(Catálogo!$T:T,Catálogo!$A:$A,$A7),1000),400000)</f>
        <v/>
      </c>
      <c r="L7" s="5">
        <f>MAX(CEILING(SUMIFS(Catálogo!$U:U,Catálogo!$A:$A,$A7),1000),400000)</f>
        <v/>
      </c>
      <c r="M7" s="11">
        <f>SUMIFS(Catálogo!$J:$J,Catálogo!$A:$A,$A7)</f>
        <v/>
      </c>
      <c r="N7" s="11">
        <f>SUMIFS(Catálogo!$K:$K,Catálogo!$A:$A,$A7)</f>
        <v/>
      </c>
      <c r="O7" s="5">
        <f>MAX(FLOOR(SUMIFS(Catálogo!$V:V,Catálogo!$A:$A,$A7),1000),400000)</f>
        <v/>
      </c>
      <c r="P7" s="5">
        <f>MAX(CEILING(SUMIFS(Catálogo!$W:W,Catálogo!$A:$A,$A7),1000),400000)</f>
        <v/>
      </c>
      <c r="Q7" s="11">
        <f>SUMIFS(Catálogo!$L:$L,Catálogo!$A:$A,$A7)</f>
        <v/>
      </c>
      <c r="R7" s="11">
        <f>SUMIFS(Catálogo!$M:$M,Catálogo!$A:$A,$A7)</f>
        <v/>
      </c>
      <c r="S7" s="5">
        <f>MAX(FLOOR(SUMIFS(Catálogo!$X:X,Catálogo!$A:$A,$A7),1000),400000)</f>
        <v/>
      </c>
      <c r="T7" s="5">
        <f>MAX(CEILING(SUMIFS(Catálogo!$Y:Y,Catálogo!$A:$A,$A7),1000),400000)</f>
        <v/>
      </c>
      <c r="U7" s="11">
        <f>SUMIFS(Catálogo!$N:$N,Catálogo!$A:$A,$A7)</f>
        <v/>
      </c>
      <c r="V7" s="11">
        <f>SUMIFS(Catálogo!$O:$O,Catálogo!$A:$A,$A7)</f>
        <v/>
      </c>
      <c r="W7" s="5">
        <f>MAX(FLOOR(SUMIFS(Catálogo!$Z:Z,Catálogo!$A:$A,$A7),1000),400000)</f>
        <v/>
      </c>
      <c r="X7" s="5">
        <f>MAX(CEILING(SUMIFS(Catálogo!$AA:AA,Catálogo!$A:$A,$A7),1000),400000)</f>
        <v/>
      </c>
      <c r="Y7" s="12">
        <f>K7</f>
        <v/>
      </c>
      <c r="AA7" s="5">
        <f>SUMIFS(Catálogo!$F:$F,Catálogo!$A:$A,$A7)</f>
        <v/>
      </c>
      <c r="AB7" s="5">
        <f>SUMIFS(Catálogo!$Z:Z,Catálogo!$A:$A,$A7)</f>
        <v/>
      </c>
      <c r="AC7" s="5">
        <f>SUMIFS(Catálogo!$H:$H,Catálogo!$A:$A,$A7)</f>
        <v/>
      </c>
      <c r="AD7" s="5">
        <f>SUMIFS(Catálogo!$Z:Z,Catálogo!$A:$A,$A7)</f>
        <v/>
      </c>
      <c r="AE7" s="5">
        <f>SUMIFS(Catálogo!$J:$J,Catálogo!$A:$A,$A7)</f>
        <v/>
      </c>
      <c r="AF7" s="5">
        <f>SUMIFS(Catálogo!$Z:Z,Catálogo!$A:$A,$A7)</f>
        <v/>
      </c>
      <c r="AG7" s="5">
        <f>SUMIFS(Catálogo!$L:$L,Catálogo!$A:$A,$A7)</f>
        <v/>
      </c>
      <c r="AH7" s="5">
        <f>SUMIFS(Catálogo!$Z:Z,Catálogo!$A:$A,$A7)</f>
        <v/>
      </c>
      <c r="AI7" s="5">
        <f>SUMIFS(Catálogo!$N:$N,Catálogo!$A:$A,$A7)</f>
        <v/>
      </c>
      <c r="AJ7" s="5">
        <f>SUMIFS(Catálogo!$Z:Z,Catálogo!$A:$A,$A7)</f>
        <v/>
      </c>
    </row>
    <row r="8">
      <c r="A8" t="inlineStr">
        <is>
          <t>WEB-04</t>
        </is>
      </c>
      <c r="B8" t="inlineStr">
        <is>
          <t>Web App 3D (configurador/herramienta)</t>
        </is>
      </c>
      <c r="C8" t="inlineStr">
        <is>
          <t>web-3d</t>
        </is>
      </c>
      <c r="D8" t="inlineStr">
        <is>
          <t>7-112</t>
        </is>
      </c>
      <c r="E8" s="11">
        <f>IF(SUMIFS(Catálogo!$F:$F,Catálogo!$A:$A,$A8)=0,SUMIFS(Catálogo!$H:$H,Catálogo!$A:$A,$A8),SUMIFS(Catálogo!$F:$F,Catálogo!$A:$A,$A8))</f>
        <v/>
      </c>
      <c r="F8" s="11">
        <f>IF(SUMIFS(Catálogo!$G:$G,Catálogo!$A:$A,$A8)=0,SUMIFS(Catálogo!$I:$I,Catálogo!$A:$A,$A8),SUMIFS(Catálogo!$G:$G,Catálogo!$A:$A,$A8))</f>
        <v/>
      </c>
      <c r="G8" s="5">
        <f>IF(SUMIFS(Catálogo!$F:$F,Catálogo!$A:$A,$A8)=0,MAX(FLOOR(SUMIFS(Catálogo!$T:$T,Catálogo!$A:$A,$A8),1000),400000),MAX(FLOOR(SUMIFS(Catálogo!$R:$R,Catálogo!$A:$A,$A8),1000),400000))</f>
        <v/>
      </c>
      <c r="H8" s="5">
        <f>IF(SUMIFS(Catálogo!$G:$G,Catálogo!$A:$A,$A8)=0,MAX(CEILING(SUMIFS(Catálogo!$U:$U,Catálogo!$A:$A,$A8),1000),400000),MAX(CEILING(SUMIFS(Catálogo!$S:$S,Catálogo!$A:$A,$A8),1000),400000))</f>
        <v/>
      </c>
      <c r="I8" s="11">
        <f>SUMIFS(Catálogo!$H:$H,Catálogo!$A:$A,$A8)</f>
        <v/>
      </c>
      <c r="J8" s="11">
        <f>SUMIFS(Catálogo!$I:$I,Catálogo!$A:$A,$A8)</f>
        <v/>
      </c>
      <c r="K8" s="5">
        <f>MAX(FLOOR(SUMIFS(Catálogo!$T:T,Catálogo!$A:$A,$A8),1000),400000)</f>
        <v/>
      </c>
      <c r="L8" s="5">
        <f>MAX(CEILING(SUMIFS(Catálogo!$U:U,Catálogo!$A:$A,$A8),1000),400000)</f>
        <v/>
      </c>
      <c r="M8" s="11">
        <f>SUMIFS(Catálogo!$J:$J,Catálogo!$A:$A,$A8)</f>
        <v/>
      </c>
      <c r="N8" s="11">
        <f>SUMIFS(Catálogo!$K:$K,Catálogo!$A:$A,$A8)</f>
        <v/>
      </c>
      <c r="O8" s="5">
        <f>MAX(FLOOR(SUMIFS(Catálogo!$V:V,Catálogo!$A:$A,$A8),1000),400000)</f>
        <v/>
      </c>
      <c r="P8" s="5">
        <f>MAX(CEILING(SUMIFS(Catálogo!$W:W,Catálogo!$A:$A,$A8),1000),400000)</f>
        <v/>
      </c>
      <c r="Q8" s="11">
        <f>SUMIFS(Catálogo!$L:$L,Catálogo!$A:$A,$A8)</f>
        <v/>
      </c>
      <c r="R8" s="11">
        <f>SUMIFS(Catálogo!$M:$M,Catálogo!$A:$A,$A8)</f>
        <v/>
      </c>
      <c r="S8" s="5">
        <f>MAX(FLOOR(SUMIFS(Catálogo!$X:X,Catálogo!$A:$A,$A8),1000),400000)</f>
        <v/>
      </c>
      <c r="T8" s="5">
        <f>MAX(CEILING(SUMIFS(Catálogo!$Y:Y,Catálogo!$A:$A,$A8),1000),400000)</f>
        <v/>
      </c>
      <c r="U8" s="11">
        <f>SUMIFS(Catálogo!$N:$N,Catálogo!$A:$A,$A8)</f>
        <v/>
      </c>
      <c r="V8" s="11">
        <f>SUMIFS(Catálogo!$O:$O,Catálogo!$A:$A,$A8)</f>
        <v/>
      </c>
      <c r="W8" s="5">
        <f>MAX(FLOOR(SUMIFS(Catálogo!$Z:Z,Catálogo!$A:$A,$A8),1000),400000)</f>
        <v/>
      </c>
      <c r="X8" s="5">
        <f>MAX(CEILING(SUMIFS(Catálogo!$AA:AA,Catálogo!$A:$A,$A8),1000),400000)</f>
        <v/>
      </c>
      <c r="Y8" s="12">
        <f>K8</f>
        <v/>
      </c>
      <c r="AA8" s="5">
        <f>SUMIFS(Catálogo!$F:$F,Catálogo!$A:$A,$A8)</f>
        <v/>
      </c>
      <c r="AB8" s="5">
        <f>SUMIFS(Catálogo!$Z:Z,Catálogo!$A:$A,$A8)</f>
        <v/>
      </c>
      <c r="AC8" s="5">
        <f>SUMIFS(Catálogo!$H:$H,Catálogo!$A:$A,$A8)</f>
        <v/>
      </c>
      <c r="AD8" s="5">
        <f>SUMIFS(Catálogo!$Z:Z,Catálogo!$A:$A,$A8)</f>
        <v/>
      </c>
      <c r="AE8" s="5">
        <f>SUMIFS(Catálogo!$J:$J,Catálogo!$A:$A,$A8)</f>
        <v/>
      </c>
      <c r="AF8" s="5">
        <f>SUMIFS(Catálogo!$Z:Z,Catálogo!$A:$A,$A8)</f>
        <v/>
      </c>
      <c r="AG8" s="5">
        <f>SUMIFS(Catálogo!$L:$L,Catálogo!$A:$A,$A8)</f>
        <v/>
      </c>
      <c r="AH8" s="5">
        <f>SUMIFS(Catálogo!$Z:Z,Catálogo!$A:$A,$A8)</f>
        <v/>
      </c>
      <c r="AI8" s="5">
        <f>SUMIFS(Catálogo!$N:$N,Catálogo!$A:$A,$A8)</f>
        <v/>
      </c>
      <c r="AJ8" s="5">
        <f>SUMIFS(Catálogo!$Z:Z,Catálogo!$A:$A,$A8)</f>
        <v/>
      </c>
    </row>
    <row r="9">
      <c r="A9" t="inlineStr">
        <is>
          <t>AI-01</t>
        </is>
      </c>
      <c r="B9" t="inlineStr">
        <is>
          <t>Asistente IA en sitio web (chat RAG)</t>
        </is>
      </c>
      <c r="C9" t="inlineStr">
        <is>
          <t>ia</t>
        </is>
      </c>
      <c r="D9" t="inlineStr">
        <is>
          <t>3-70</t>
        </is>
      </c>
      <c r="E9" s="11">
        <f>IF(SUMIFS(Catálogo!$F:$F,Catálogo!$A:$A,$A9)=0,SUMIFS(Catálogo!$H:$H,Catálogo!$A:$A,$A9),SUMIFS(Catálogo!$F:$F,Catálogo!$A:$A,$A9))</f>
        <v/>
      </c>
      <c r="F9" s="11">
        <f>IF(SUMIFS(Catálogo!$G:$G,Catálogo!$A:$A,$A9)=0,SUMIFS(Catálogo!$I:$I,Catálogo!$A:$A,$A9),SUMIFS(Catálogo!$G:$G,Catálogo!$A:$A,$A9))</f>
        <v/>
      </c>
      <c r="G9" s="5">
        <f>IF(SUMIFS(Catálogo!$F:$F,Catálogo!$A:$A,$A9)=0,MAX(FLOOR(SUMIFS(Catálogo!$T:$T,Catálogo!$A:$A,$A9),1000),400000),MAX(FLOOR(SUMIFS(Catálogo!$R:$R,Catálogo!$A:$A,$A9),1000),400000))</f>
        <v/>
      </c>
      <c r="H9" s="5">
        <f>IF(SUMIFS(Catálogo!$G:$G,Catálogo!$A:$A,$A9)=0,MAX(CEILING(SUMIFS(Catálogo!$U:$U,Catálogo!$A:$A,$A9),1000),400000),MAX(CEILING(SUMIFS(Catálogo!$S:$S,Catálogo!$A:$A,$A9),1000),400000))</f>
        <v/>
      </c>
      <c r="I9" s="11">
        <f>SUMIFS(Catálogo!$H:$H,Catálogo!$A:$A,$A9)</f>
        <v/>
      </c>
      <c r="J9" s="11">
        <f>SUMIFS(Catálogo!$I:$I,Catálogo!$A:$A,$A9)</f>
        <v/>
      </c>
      <c r="K9" s="5">
        <f>MAX(FLOOR(SUMIFS(Catálogo!$T:T,Catálogo!$A:$A,$A9),1000),400000)</f>
        <v/>
      </c>
      <c r="L9" s="5">
        <f>MAX(CEILING(SUMIFS(Catálogo!$U:U,Catálogo!$A:$A,$A9),1000),400000)</f>
        <v/>
      </c>
      <c r="M9" s="11">
        <f>SUMIFS(Catálogo!$J:$J,Catálogo!$A:$A,$A9)</f>
        <v/>
      </c>
      <c r="N9" s="11">
        <f>SUMIFS(Catálogo!$K:$K,Catálogo!$A:$A,$A9)</f>
        <v/>
      </c>
      <c r="O9" s="5">
        <f>MAX(FLOOR(SUMIFS(Catálogo!$V:V,Catálogo!$A:$A,$A9),1000),400000)</f>
        <v/>
      </c>
      <c r="P9" s="5">
        <f>MAX(CEILING(SUMIFS(Catálogo!$W:W,Catálogo!$A:$A,$A9),1000),400000)</f>
        <v/>
      </c>
      <c r="Q9" s="11">
        <f>SUMIFS(Catálogo!$L:$L,Catálogo!$A:$A,$A9)</f>
        <v/>
      </c>
      <c r="R9" s="11">
        <f>SUMIFS(Catálogo!$M:$M,Catálogo!$A:$A,$A9)</f>
        <v/>
      </c>
      <c r="S9" s="5">
        <f>MAX(FLOOR(SUMIFS(Catálogo!$X:X,Catálogo!$A:$A,$A9),1000),400000)</f>
        <v/>
      </c>
      <c r="T9" s="5">
        <f>MAX(CEILING(SUMIFS(Catálogo!$Y:Y,Catálogo!$A:$A,$A9),1000),400000)</f>
        <v/>
      </c>
      <c r="U9" s="11">
        <f>SUMIFS(Catálogo!$N:$N,Catálogo!$A:$A,$A9)</f>
        <v/>
      </c>
      <c r="V9" s="11">
        <f>SUMIFS(Catálogo!$O:$O,Catálogo!$A:$A,$A9)</f>
        <v/>
      </c>
      <c r="W9" s="5">
        <f>MAX(FLOOR(SUMIFS(Catálogo!$Z:Z,Catálogo!$A:$A,$A9),1000),400000)</f>
        <v/>
      </c>
      <c r="X9" s="5">
        <f>MAX(CEILING(SUMIFS(Catálogo!$AA:AA,Catálogo!$A:$A,$A9),1000),400000)</f>
        <v/>
      </c>
      <c r="Y9" s="12">
        <f>K9</f>
        <v/>
      </c>
      <c r="AA9" s="5">
        <f>SUMIFS(Catálogo!$F:$F,Catálogo!$A:$A,$A9)</f>
        <v/>
      </c>
      <c r="AB9" s="5">
        <f>SUMIFS(Catálogo!$Z:Z,Catálogo!$A:$A,$A9)</f>
        <v/>
      </c>
      <c r="AC9" s="5">
        <f>SUMIFS(Catálogo!$H:$H,Catálogo!$A:$A,$A9)</f>
        <v/>
      </c>
      <c r="AD9" s="5">
        <f>SUMIFS(Catálogo!$Z:Z,Catálogo!$A:$A,$A9)</f>
        <v/>
      </c>
      <c r="AE9" s="5">
        <f>SUMIFS(Catálogo!$J:$J,Catálogo!$A:$A,$A9)</f>
        <v/>
      </c>
      <c r="AF9" s="5">
        <f>SUMIFS(Catálogo!$Z:Z,Catálogo!$A:$A,$A9)</f>
        <v/>
      </c>
      <c r="AG9" s="5">
        <f>SUMIFS(Catálogo!$L:$L,Catálogo!$A:$A,$A9)</f>
        <v/>
      </c>
      <c r="AH9" s="5">
        <f>SUMIFS(Catálogo!$Z:Z,Catálogo!$A:$A,$A9)</f>
        <v/>
      </c>
      <c r="AI9" s="5">
        <f>SUMIFS(Catálogo!$N:$N,Catálogo!$A:$A,$A9)</f>
        <v/>
      </c>
      <c r="AJ9" s="5">
        <f>SUMIFS(Catálogo!$Z:Z,Catálogo!$A:$A,$A9)</f>
        <v/>
      </c>
    </row>
    <row r="10">
      <c r="A10" t="inlineStr">
        <is>
          <t>CON-01</t>
        </is>
      </c>
      <c r="B10" t="inlineStr">
        <is>
          <t>Consultoria tecnica 3D / web</t>
        </is>
      </c>
      <c r="C10" t="inlineStr">
        <is>
          <t>soporte</t>
        </is>
      </c>
      <c r="D10" t="inlineStr">
        <is>
          <t>2-10</t>
        </is>
      </c>
      <c r="E10" s="11">
        <f>IF(SUMIFS(Catálogo!$F:$F,Catálogo!$A:$A,$A10)=0,SUMIFS(Catálogo!$H:$H,Catálogo!$A:$A,$A10),SUMIFS(Catálogo!$F:$F,Catálogo!$A:$A,$A10))</f>
        <v/>
      </c>
      <c r="F10" s="11">
        <f>IF(SUMIFS(Catálogo!$G:$G,Catálogo!$A:$A,$A10)=0,SUMIFS(Catálogo!$I:$I,Catálogo!$A:$A,$A10),SUMIFS(Catálogo!$G:$G,Catálogo!$A:$A,$A10))</f>
        <v/>
      </c>
      <c r="G10" s="5">
        <f>IF(SUMIFS(Catálogo!$F:$F,Catálogo!$A:$A,$A10)=0,MAX(FLOOR(SUMIFS(Catálogo!$T:$T,Catálogo!$A:$A,$A10),1000),400000),MAX(FLOOR(SUMIFS(Catálogo!$R:$R,Catálogo!$A:$A,$A10),1000),400000))</f>
        <v/>
      </c>
      <c r="H10" s="5">
        <f>IF(SUMIFS(Catálogo!$G:$G,Catálogo!$A:$A,$A10)=0,MAX(CEILING(SUMIFS(Catálogo!$U:$U,Catálogo!$A:$A,$A10),1000),400000),MAX(CEILING(SUMIFS(Catálogo!$S:$S,Catálogo!$A:$A,$A10),1000),400000))</f>
        <v/>
      </c>
      <c r="I10" s="11">
        <f>SUMIFS(Catálogo!$H:$H,Catálogo!$A:$A,$A10)</f>
        <v/>
      </c>
      <c r="J10" s="11">
        <f>SUMIFS(Catálogo!$I:$I,Catálogo!$A:$A,$A10)</f>
        <v/>
      </c>
      <c r="K10" s="5">
        <f>MAX(FLOOR(SUMIFS(Catálogo!$T:T,Catálogo!$A:$A,$A10),1000),400000)</f>
        <v/>
      </c>
      <c r="L10" s="5">
        <f>MAX(CEILING(SUMIFS(Catálogo!$U:U,Catálogo!$A:$A,$A10),1000),400000)</f>
        <v/>
      </c>
      <c r="M10" s="11">
        <f>SUMIFS(Catálogo!$J:$J,Catálogo!$A:$A,$A10)</f>
        <v/>
      </c>
      <c r="N10" s="11">
        <f>SUMIFS(Catálogo!$K:$K,Catálogo!$A:$A,$A10)</f>
        <v/>
      </c>
      <c r="O10" s="5">
        <f>MAX(FLOOR(SUMIFS(Catálogo!$V:V,Catálogo!$A:$A,$A10),1000),400000)</f>
        <v/>
      </c>
      <c r="P10" s="5">
        <f>MAX(CEILING(SUMIFS(Catálogo!$W:W,Catálogo!$A:$A,$A10),1000),400000)</f>
        <v/>
      </c>
      <c r="Q10" s="11">
        <f>SUMIFS(Catálogo!$L:$L,Catálogo!$A:$A,$A10)</f>
        <v/>
      </c>
      <c r="R10" s="11">
        <f>SUMIFS(Catálogo!$M:$M,Catálogo!$A:$A,$A10)</f>
        <v/>
      </c>
      <c r="S10" s="5">
        <f>MAX(FLOOR(SUMIFS(Catálogo!$X:X,Catálogo!$A:$A,$A10),1000),400000)</f>
        <v/>
      </c>
      <c r="T10" s="5">
        <f>MAX(CEILING(SUMIFS(Catálogo!$Y:Y,Catálogo!$A:$A,$A10),1000),400000)</f>
        <v/>
      </c>
      <c r="U10" s="11">
        <f>SUMIFS(Catálogo!$N:$N,Catálogo!$A:$A,$A10)</f>
        <v/>
      </c>
      <c r="V10" s="11">
        <f>SUMIFS(Catálogo!$O:$O,Catálogo!$A:$A,$A10)</f>
        <v/>
      </c>
      <c r="W10" s="5">
        <f>MAX(FLOOR(SUMIFS(Catálogo!$Z:Z,Catálogo!$A:$A,$A10),1000),400000)</f>
        <v/>
      </c>
      <c r="X10" s="5">
        <f>MAX(CEILING(SUMIFS(Catálogo!$AA:AA,Catálogo!$A:$A,$A10),1000),400000)</f>
        <v/>
      </c>
      <c r="Y10" s="12">
        <f>K10</f>
        <v/>
      </c>
      <c r="AA10" s="5">
        <f>SUMIFS(Catálogo!$F:$F,Catálogo!$A:$A,$A10)</f>
        <v/>
      </c>
      <c r="AB10" s="5">
        <f>SUMIFS(Catálogo!$Z:Z,Catálogo!$A:$A,$A10)</f>
        <v/>
      </c>
      <c r="AC10" s="5">
        <f>SUMIFS(Catálogo!$H:$H,Catálogo!$A:$A,$A10)</f>
        <v/>
      </c>
      <c r="AD10" s="5">
        <f>SUMIFS(Catálogo!$Z:Z,Catálogo!$A:$A,$A10)</f>
        <v/>
      </c>
      <c r="AE10" s="5">
        <f>SUMIFS(Catálogo!$J:$J,Catálogo!$A:$A,$A10)</f>
        <v/>
      </c>
      <c r="AF10" s="5">
        <f>SUMIFS(Catálogo!$Z:Z,Catálogo!$A:$A,$A10)</f>
        <v/>
      </c>
      <c r="AG10" s="5">
        <f>SUMIFS(Catálogo!$L:$L,Catálogo!$A:$A,$A10)</f>
        <v/>
      </c>
      <c r="AH10" s="5">
        <f>SUMIFS(Catálogo!$Z:Z,Catálogo!$A:$A,$A10)</f>
        <v/>
      </c>
      <c r="AI10" s="5">
        <f>SUMIFS(Catálogo!$N:$N,Catálogo!$A:$A,$A10)</f>
        <v/>
      </c>
      <c r="AJ10" s="5">
        <f>SUMIFS(Catálogo!$Z:Z,Catálogo!$A:$A,$A10)</f>
        <v/>
      </c>
    </row>
    <row r="11">
      <c r="A11" t="inlineStr">
        <is>
          <t>RET-01</t>
        </is>
      </c>
      <c r="B11" t="inlineStr">
        <is>
          <t>Retainer mensual</t>
        </is>
      </c>
      <c r="C11" t="inlineStr">
        <is>
          <t>soporte</t>
        </is>
      </c>
      <c r="D11" t="inlineStr">
        <is>
          <t>0-0</t>
        </is>
      </c>
      <c r="E11" s="11">
        <f>IF(SUMIFS(Catálogo!$F:$F,Catálogo!$A:$A,$A11)=0,SUMIFS(Catálogo!$H:$H,Catálogo!$A:$A,$A11),SUMIFS(Catálogo!$F:$F,Catálogo!$A:$A,$A11))</f>
        <v/>
      </c>
      <c r="F11" s="11">
        <f>IF(SUMIFS(Catálogo!$G:$G,Catálogo!$A:$A,$A11)=0,SUMIFS(Catálogo!$I:$I,Catálogo!$A:$A,$A11),SUMIFS(Catálogo!$G:$G,Catálogo!$A:$A,$A11))</f>
        <v/>
      </c>
      <c r="G11" s="5">
        <f>IF(SUMIFS(Catálogo!$F:$F,Catálogo!$A:$A,$A11)=0,MAX(FLOOR(SUMIFS(Catálogo!$T:$T,Catálogo!$A:$A,$A11),1000),400000),MAX(FLOOR(SUMIFS(Catálogo!$R:$R,Catálogo!$A:$A,$A11),1000),400000))</f>
        <v/>
      </c>
      <c r="H11" s="5">
        <f>IF(SUMIFS(Catálogo!$G:$G,Catálogo!$A:$A,$A11)=0,MAX(CEILING(SUMIFS(Catálogo!$U:$U,Catálogo!$A:$A,$A11),1000),400000),MAX(CEILING(SUMIFS(Catálogo!$S:$S,Catálogo!$A:$A,$A11),1000),400000))</f>
        <v/>
      </c>
      <c r="I11" s="11">
        <f>SUMIFS(Catálogo!$H:$H,Catálogo!$A:$A,$A11)</f>
        <v/>
      </c>
      <c r="J11" s="11">
        <f>SUMIFS(Catálogo!$I:$I,Catálogo!$A:$A,$A11)</f>
        <v/>
      </c>
      <c r="K11" s="5">
        <f>MAX(FLOOR(SUMIFS(Catálogo!$T:T,Catálogo!$A:$A,$A11),1000),400000)</f>
        <v/>
      </c>
      <c r="L11" s="5">
        <f>MAX(CEILING(SUMIFS(Catálogo!$U:U,Catálogo!$A:$A,$A11),1000),400000)</f>
        <v/>
      </c>
      <c r="M11" s="11">
        <f>SUMIFS(Catálogo!$J:$J,Catálogo!$A:$A,$A11)</f>
        <v/>
      </c>
      <c r="N11" s="11">
        <f>SUMIFS(Catálogo!$K:$K,Catálogo!$A:$A,$A11)</f>
        <v/>
      </c>
      <c r="O11" s="5">
        <f>MAX(FLOOR(SUMIFS(Catálogo!$V:V,Catálogo!$A:$A,$A11),1000),400000)</f>
        <v/>
      </c>
      <c r="P11" s="5">
        <f>MAX(CEILING(SUMIFS(Catálogo!$W:W,Catálogo!$A:$A,$A11),1000),400000)</f>
        <v/>
      </c>
      <c r="Q11" s="11">
        <f>SUMIFS(Catálogo!$L:$L,Catálogo!$A:$A,$A11)</f>
        <v/>
      </c>
      <c r="R11" s="11">
        <f>SUMIFS(Catálogo!$M:$M,Catálogo!$A:$A,$A11)</f>
        <v/>
      </c>
      <c r="S11" s="5">
        <f>MAX(FLOOR(SUMIFS(Catálogo!$X:X,Catálogo!$A:$A,$A11),1000),400000)</f>
        <v/>
      </c>
      <c r="T11" s="5">
        <f>MAX(CEILING(SUMIFS(Catálogo!$Y:Y,Catálogo!$A:$A,$A11),1000),400000)</f>
        <v/>
      </c>
      <c r="U11" s="11">
        <f>SUMIFS(Catálogo!$N:$N,Catálogo!$A:$A,$A11)</f>
        <v/>
      </c>
      <c r="V11" s="11">
        <f>SUMIFS(Catálogo!$O:$O,Catálogo!$A:$A,$A11)</f>
        <v/>
      </c>
      <c r="W11" s="5">
        <f>MAX(FLOOR(SUMIFS(Catálogo!$Z:Z,Catálogo!$A:$A,$A11),1000),400000)</f>
        <v/>
      </c>
      <c r="X11" s="5">
        <f>MAX(CEILING(SUMIFS(Catálogo!$AA:AA,Catálogo!$A:$A,$A11),1000),400000)</f>
        <v/>
      </c>
      <c r="Y11" s="12">
        <f>K11</f>
        <v/>
      </c>
      <c r="AA11" s="5">
        <f>SUMIFS(Catálogo!$F:$F,Catálogo!$A:$A,$A11)</f>
        <v/>
      </c>
      <c r="AB11" s="5">
        <f>SUMIFS(Catálogo!$Z:Z,Catálogo!$A:$A,$A11)</f>
        <v/>
      </c>
      <c r="AC11" s="5">
        <f>SUMIFS(Catálogo!$H:$H,Catálogo!$A:$A,$A11)</f>
        <v/>
      </c>
      <c r="AD11" s="5">
        <f>SUMIFS(Catálogo!$Z:Z,Catálogo!$A:$A,$A11)</f>
        <v/>
      </c>
      <c r="AE11" s="5">
        <f>SUMIFS(Catálogo!$J:$J,Catálogo!$A:$A,$A11)</f>
        <v/>
      </c>
      <c r="AF11" s="5">
        <f>SUMIFS(Catálogo!$Z:Z,Catálogo!$A:$A,$A11)</f>
        <v/>
      </c>
      <c r="AG11" s="5">
        <f>SUMIFS(Catálogo!$L:$L,Catálogo!$A:$A,$A11)</f>
        <v/>
      </c>
      <c r="AH11" s="5">
        <f>SUMIFS(Catálogo!$Z:Z,Catálogo!$A:$A,$A11)</f>
        <v/>
      </c>
      <c r="AI11" s="5">
        <f>SUMIFS(Catálogo!$N:$N,Catálogo!$A:$A,$A11)</f>
        <v/>
      </c>
      <c r="AJ11" s="5">
        <f>SUMIFS(Catálogo!$Z:Z,Catálogo!$A:$A,$A11)</f>
        <v/>
      </c>
    </row>
    <row r="12">
      <c r="A12" t="inlineStr">
        <is>
          <t>RTA-03</t>
        </is>
      </c>
      <c r="B12" t="inlineStr">
        <is>
          <t>Modelo animado no interactuable</t>
        </is>
      </c>
      <c r="C12" t="inlineStr">
        <is>
          <t>asset-rt</t>
        </is>
      </c>
      <c r="D12" t="inlineStr">
        <is>
          <t>3-60</t>
        </is>
      </c>
      <c r="E12" s="11">
        <f>IF(SUMIFS(Catálogo!$F:$F,Catálogo!$A:$A,$A12)=0,SUMIFS(Catálogo!$H:$H,Catálogo!$A:$A,$A12),SUMIFS(Catálogo!$F:$F,Catálogo!$A:$A,$A12))</f>
        <v/>
      </c>
      <c r="F12" s="11">
        <f>IF(SUMIFS(Catálogo!$G:$G,Catálogo!$A:$A,$A12)=0,SUMIFS(Catálogo!$I:$I,Catálogo!$A:$A,$A12),SUMIFS(Catálogo!$G:$G,Catálogo!$A:$A,$A12))</f>
        <v/>
      </c>
      <c r="G12" s="5">
        <f>IF(SUMIFS(Catálogo!$F:$F,Catálogo!$A:$A,$A12)=0,MAX(FLOOR(SUMIFS(Catálogo!$T:$T,Catálogo!$A:$A,$A12),1000),400000),MAX(FLOOR(SUMIFS(Catálogo!$R:$R,Catálogo!$A:$A,$A12),1000),400000))</f>
        <v/>
      </c>
      <c r="H12" s="5">
        <f>IF(SUMIFS(Catálogo!$G:$G,Catálogo!$A:$A,$A12)=0,MAX(CEILING(SUMIFS(Catálogo!$U:$U,Catálogo!$A:$A,$A12),1000),400000),MAX(CEILING(SUMIFS(Catálogo!$S:$S,Catálogo!$A:$A,$A12),1000),400000))</f>
        <v/>
      </c>
      <c r="I12" s="11">
        <f>SUMIFS(Catálogo!$H:$H,Catálogo!$A:$A,$A12)</f>
        <v/>
      </c>
      <c r="J12" s="11">
        <f>SUMIFS(Catálogo!$I:$I,Catálogo!$A:$A,$A12)</f>
        <v/>
      </c>
      <c r="K12" s="5">
        <f>MAX(FLOOR(SUMIFS(Catálogo!$T:T,Catálogo!$A:$A,$A12),1000),400000)</f>
        <v/>
      </c>
      <c r="L12" s="5">
        <f>MAX(CEILING(SUMIFS(Catálogo!$U:U,Catálogo!$A:$A,$A12),1000),400000)</f>
        <v/>
      </c>
      <c r="M12" s="11">
        <f>SUMIFS(Catálogo!$J:$J,Catálogo!$A:$A,$A12)</f>
        <v/>
      </c>
      <c r="N12" s="11">
        <f>SUMIFS(Catálogo!$K:$K,Catálogo!$A:$A,$A12)</f>
        <v/>
      </c>
      <c r="O12" s="5">
        <f>MAX(FLOOR(SUMIFS(Catálogo!$V:V,Catálogo!$A:$A,$A12),1000),400000)</f>
        <v/>
      </c>
      <c r="P12" s="5">
        <f>MAX(CEILING(SUMIFS(Catálogo!$W:W,Catálogo!$A:$A,$A12),1000),400000)</f>
        <v/>
      </c>
      <c r="Q12" s="11">
        <f>SUMIFS(Catálogo!$L:$L,Catálogo!$A:$A,$A12)</f>
        <v/>
      </c>
      <c r="R12" s="11">
        <f>SUMIFS(Catálogo!$M:$M,Catálogo!$A:$A,$A12)</f>
        <v/>
      </c>
      <c r="S12" s="5">
        <f>MAX(FLOOR(SUMIFS(Catálogo!$X:X,Catálogo!$A:$A,$A12),1000),400000)</f>
        <v/>
      </c>
      <c r="T12" s="5">
        <f>MAX(CEILING(SUMIFS(Catálogo!$Y:Y,Catálogo!$A:$A,$A12),1000),400000)</f>
        <v/>
      </c>
      <c r="U12" s="11">
        <f>SUMIFS(Catálogo!$N:$N,Catálogo!$A:$A,$A12)</f>
        <v/>
      </c>
      <c r="V12" s="11">
        <f>SUMIFS(Catálogo!$O:$O,Catálogo!$A:$A,$A12)</f>
        <v/>
      </c>
      <c r="W12" s="5">
        <f>MAX(FLOOR(SUMIFS(Catálogo!$Z:Z,Catálogo!$A:$A,$A12),1000),400000)</f>
        <v/>
      </c>
      <c r="X12" s="5">
        <f>MAX(CEILING(SUMIFS(Catálogo!$AA:AA,Catálogo!$A:$A,$A12),1000),400000)</f>
        <v/>
      </c>
      <c r="Y12" s="12">
        <f>K12</f>
        <v/>
      </c>
      <c r="AA12" s="5">
        <f>SUMIFS(Catálogo!$F:$F,Catálogo!$A:$A,$A12)</f>
        <v/>
      </c>
      <c r="AB12" s="5">
        <f>SUMIFS(Catálogo!$Z:Z,Catálogo!$A:$A,$A12)</f>
        <v/>
      </c>
      <c r="AC12" s="5">
        <f>SUMIFS(Catálogo!$H:$H,Catálogo!$A:$A,$A12)</f>
        <v/>
      </c>
      <c r="AD12" s="5">
        <f>SUMIFS(Catálogo!$Z:Z,Catálogo!$A:$A,$A12)</f>
        <v/>
      </c>
      <c r="AE12" s="5">
        <f>SUMIFS(Catálogo!$J:$J,Catálogo!$A:$A,$A12)</f>
        <v/>
      </c>
      <c r="AF12" s="5">
        <f>SUMIFS(Catálogo!$Z:Z,Catálogo!$A:$A,$A12)</f>
        <v/>
      </c>
      <c r="AG12" s="5">
        <f>SUMIFS(Catálogo!$L:$L,Catálogo!$A:$A,$A12)</f>
        <v/>
      </c>
      <c r="AH12" s="5">
        <f>SUMIFS(Catálogo!$Z:Z,Catálogo!$A:$A,$A12)</f>
        <v/>
      </c>
      <c r="AI12" s="5">
        <f>SUMIFS(Catálogo!$N:$N,Catálogo!$A:$A,$A12)</f>
        <v/>
      </c>
      <c r="AJ12" s="5">
        <f>SUMIFS(Catálogo!$Z:Z,Catálogo!$A:$A,$A12)</f>
        <v/>
      </c>
    </row>
    <row r="13">
      <c r="A13" t="inlineStr">
        <is>
          <t>RTA-04</t>
        </is>
      </c>
      <c r="B13" t="inlineStr">
        <is>
          <t>Modelo animado interactuable</t>
        </is>
      </c>
      <c r="C13" t="inlineStr">
        <is>
          <t>asset-rt</t>
        </is>
      </c>
      <c r="D13" t="inlineStr">
        <is>
          <t>5-80</t>
        </is>
      </c>
      <c r="E13" s="11">
        <f>IF(SUMIFS(Catálogo!$F:$F,Catálogo!$A:$A,$A13)=0,SUMIFS(Catálogo!$H:$H,Catálogo!$A:$A,$A13),SUMIFS(Catálogo!$F:$F,Catálogo!$A:$A,$A13))</f>
        <v/>
      </c>
      <c r="F13" s="11">
        <f>IF(SUMIFS(Catálogo!$G:$G,Catálogo!$A:$A,$A13)=0,SUMIFS(Catálogo!$I:$I,Catálogo!$A:$A,$A13),SUMIFS(Catálogo!$G:$G,Catálogo!$A:$A,$A13))</f>
        <v/>
      </c>
      <c r="G13" s="5">
        <f>IF(SUMIFS(Catálogo!$F:$F,Catálogo!$A:$A,$A13)=0,MAX(FLOOR(SUMIFS(Catálogo!$T:$T,Catálogo!$A:$A,$A13),1000),400000),MAX(FLOOR(SUMIFS(Catálogo!$R:$R,Catálogo!$A:$A,$A13),1000),400000))</f>
        <v/>
      </c>
      <c r="H13" s="5">
        <f>IF(SUMIFS(Catálogo!$G:$G,Catálogo!$A:$A,$A13)=0,MAX(CEILING(SUMIFS(Catálogo!$U:$U,Catálogo!$A:$A,$A13),1000),400000),MAX(CEILING(SUMIFS(Catálogo!$S:$S,Catálogo!$A:$A,$A13),1000),400000))</f>
        <v/>
      </c>
      <c r="I13" s="11">
        <f>SUMIFS(Catálogo!$H:$H,Catálogo!$A:$A,$A13)</f>
        <v/>
      </c>
      <c r="J13" s="11">
        <f>SUMIFS(Catálogo!$I:$I,Catálogo!$A:$A,$A13)</f>
        <v/>
      </c>
      <c r="K13" s="5">
        <f>MAX(FLOOR(SUMIFS(Catálogo!$T:T,Catálogo!$A:$A,$A13),1000),400000)</f>
        <v/>
      </c>
      <c r="L13" s="5">
        <f>MAX(CEILING(SUMIFS(Catálogo!$U:U,Catálogo!$A:$A,$A13),1000),400000)</f>
        <v/>
      </c>
      <c r="M13" s="11">
        <f>SUMIFS(Catálogo!$J:$J,Catálogo!$A:$A,$A13)</f>
        <v/>
      </c>
      <c r="N13" s="11">
        <f>SUMIFS(Catálogo!$K:$K,Catálogo!$A:$A,$A13)</f>
        <v/>
      </c>
      <c r="O13" s="5">
        <f>MAX(FLOOR(SUMIFS(Catálogo!$V:V,Catálogo!$A:$A,$A13),1000),400000)</f>
        <v/>
      </c>
      <c r="P13" s="5">
        <f>MAX(CEILING(SUMIFS(Catálogo!$W:W,Catálogo!$A:$A,$A13),1000),400000)</f>
        <v/>
      </c>
      <c r="Q13" s="11">
        <f>SUMIFS(Catálogo!$L:$L,Catálogo!$A:$A,$A13)</f>
        <v/>
      </c>
      <c r="R13" s="11">
        <f>SUMIFS(Catálogo!$M:$M,Catálogo!$A:$A,$A13)</f>
        <v/>
      </c>
      <c r="S13" s="5">
        <f>MAX(FLOOR(SUMIFS(Catálogo!$X:X,Catálogo!$A:$A,$A13),1000),400000)</f>
        <v/>
      </c>
      <c r="T13" s="5">
        <f>MAX(CEILING(SUMIFS(Catálogo!$Y:Y,Catálogo!$A:$A,$A13),1000),400000)</f>
        <v/>
      </c>
      <c r="U13" s="11">
        <f>SUMIFS(Catálogo!$N:$N,Catálogo!$A:$A,$A13)</f>
        <v/>
      </c>
      <c r="V13" s="11">
        <f>SUMIFS(Catálogo!$O:$O,Catálogo!$A:$A,$A13)</f>
        <v/>
      </c>
      <c r="W13" s="5">
        <f>MAX(FLOOR(SUMIFS(Catálogo!$Z:Z,Catálogo!$A:$A,$A13),1000),400000)</f>
        <v/>
      </c>
      <c r="X13" s="5">
        <f>MAX(CEILING(SUMIFS(Catálogo!$AA:AA,Catálogo!$A:$A,$A13),1000),400000)</f>
        <v/>
      </c>
      <c r="Y13" s="12">
        <f>K13</f>
        <v/>
      </c>
      <c r="AA13" s="5">
        <f>SUMIFS(Catálogo!$F:$F,Catálogo!$A:$A,$A13)</f>
        <v/>
      </c>
      <c r="AB13" s="5">
        <f>SUMIFS(Catálogo!$Z:Z,Catálogo!$A:$A,$A13)</f>
        <v/>
      </c>
      <c r="AC13" s="5">
        <f>SUMIFS(Catálogo!$H:$H,Catálogo!$A:$A,$A13)</f>
        <v/>
      </c>
      <c r="AD13" s="5">
        <f>SUMIFS(Catálogo!$Z:Z,Catálogo!$A:$A,$A13)</f>
        <v/>
      </c>
      <c r="AE13" s="5">
        <f>SUMIFS(Catálogo!$J:$J,Catálogo!$A:$A,$A13)</f>
        <v/>
      </c>
      <c r="AF13" s="5">
        <f>SUMIFS(Catálogo!$Z:Z,Catálogo!$A:$A,$A13)</f>
        <v/>
      </c>
      <c r="AG13" s="5">
        <f>SUMIFS(Catálogo!$L:$L,Catálogo!$A:$A,$A13)</f>
        <v/>
      </c>
      <c r="AH13" s="5">
        <f>SUMIFS(Catálogo!$Z:Z,Catálogo!$A:$A,$A13)</f>
        <v/>
      </c>
      <c r="AI13" s="5">
        <f>SUMIFS(Catálogo!$N:$N,Catálogo!$A:$A,$A13)</f>
        <v/>
      </c>
      <c r="AJ13" s="5">
        <f>SUMIFS(Catálogo!$Z:Z,Catálogo!$A:$A,$A13)</f>
        <v/>
      </c>
    </row>
    <row r="14">
      <c r="A14" t="inlineStr">
        <is>
          <t>RTA-05</t>
        </is>
      </c>
      <c r="B14" t="inlineStr">
        <is>
          <t>Shaders estilizados</t>
        </is>
      </c>
      <c r="C14" t="inlineStr">
        <is>
          <t>asset-rt</t>
        </is>
      </c>
      <c r="D14" t="inlineStr">
        <is>
          <t>1-30</t>
        </is>
      </c>
      <c r="E14" s="11">
        <f>IF(SUMIFS(Catálogo!$F:$F,Catálogo!$A:$A,$A14)=0,SUMIFS(Catálogo!$H:$H,Catálogo!$A:$A,$A14),SUMIFS(Catálogo!$F:$F,Catálogo!$A:$A,$A14))</f>
        <v/>
      </c>
      <c r="F14" s="11">
        <f>IF(SUMIFS(Catálogo!$G:$G,Catálogo!$A:$A,$A14)=0,SUMIFS(Catálogo!$I:$I,Catálogo!$A:$A,$A14),SUMIFS(Catálogo!$G:$G,Catálogo!$A:$A,$A14))</f>
        <v/>
      </c>
      <c r="G14" s="5">
        <f>IF(SUMIFS(Catálogo!$F:$F,Catálogo!$A:$A,$A14)=0,MAX(FLOOR(SUMIFS(Catálogo!$T:$T,Catálogo!$A:$A,$A14),1000),400000),MAX(FLOOR(SUMIFS(Catálogo!$R:$R,Catálogo!$A:$A,$A14),1000),400000))</f>
        <v/>
      </c>
      <c r="H14" s="5">
        <f>IF(SUMIFS(Catálogo!$G:$G,Catálogo!$A:$A,$A14)=0,MAX(CEILING(SUMIFS(Catálogo!$U:$U,Catálogo!$A:$A,$A14),1000),400000),MAX(CEILING(SUMIFS(Catálogo!$S:$S,Catálogo!$A:$A,$A14),1000),400000))</f>
        <v/>
      </c>
      <c r="I14" s="11">
        <f>SUMIFS(Catálogo!$H:$H,Catálogo!$A:$A,$A14)</f>
        <v/>
      </c>
      <c r="J14" s="11">
        <f>SUMIFS(Catálogo!$I:$I,Catálogo!$A:$A,$A14)</f>
        <v/>
      </c>
      <c r="K14" s="5">
        <f>MAX(FLOOR(SUMIFS(Catálogo!$T:T,Catálogo!$A:$A,$A14),1000),400000)</f>
        <v/>
      </c>
      <c r="L14" s="5">
        <f>MAX(CEILING(SUMIFS(Catálogo!$U:U,Catálogo!$A:$A,$A14),1000),400000)</f>
        <v/>
      </c>
      <c r="M14" s="11">
        <f>SUMIFS(Catálogo!$J:$J,Catálogo!$A:$A,$A14)</f>
        <v/>
      </c>
      <c r="N14" s="11">
        <f>SUMIFS(Catálogo!$K:$K,Catálogo!$A:$A,$A14)</f>
        <v/>
      </c>
      <c r="O14" s="5">
        <f>MAX(FLOOR(SUMIFS(Catálogo!$V:V,Catálogo!$A:$A,$A14),1000),400000)</f>
        <v/>
      </c>
      <c r="P14" s="5">
        <f>MAX(CEILING(SUMIFS(Catálogo!$W:W,Catálogo!$A:$A,$A14),1000),400000)</f>
        <v/>
      </c>
      <c r="Q14" s="11">
        <f>SUMIFS(Catálogo!$L:$L,Catálogo!$A:$A,$A14)</f>
        <v/>
      </c>
      <c r="R14" s="11">
        <f>SUMIFS(Catálogo!$M:$M,Catálogo!$A:$A,$A14)</f>
        <v/>
      </c>
      <c r="S14" s="5">
        <f>MAX(FLOOR(SUMIFS(Catálogo!$X:X,Catálogo!$A:$A,$A14),1000),400000)</f>
        <v/>
      </c>
      <c r="T14" s="5">
        <f>MAX(CEILING(SUMIFS(Catálogo!$Y:Y,Catálogo!$A:$A,$A14),1000),400000)</f>
        <v/>
      </c>
      <c r="U14" s="11">
        <f>SUMIFS(Catálogo!$N:$N,Catálogo!$A:$A,$A14)</f>
        <v/>
      </c>
      <c r="V14" s="11">
        <f>SUMIFS(Catálogo!$O:$O,Catálogo!$A:$A,$A14)</f>
        <v/>
      </c>
      <c r="W14" s="5">
        <f>MAX(FLOOR(SUMIFS(Catálogo!$Z:Z,Catálogo!$A:$A,$A14),1000),400000)</f>
        <v/>
      </c>
      <c r="X14" s="5">
        <f>MAX(CEILING(SUMIFS(Catálogo!$AA:AA,Catálogo!$A:$A,$A14),1000),400000)</f>
        <v/>
      </c>
      <c r="Y14" s="12">
        <f>K14</f>
        <v/>
      </c>
      <c r="AA14" s="5">
        <f>SUMIFS(Catálogo!$F:$F,Catálogo!$A:$A,$A14)</f>
        <v/>
      </c>
      <c r="AB14" s="5">
        <f>SUMIFS(Catálogo!$Z:Z,Catálogo!$A:$A,$A14)</f>
        <v/>
      </c>
      <c r="AC14" s="5">
        <f>SUMIFS(Catálogo!$H:$H,Catálogo!$A:$A,$A14)</f>
        <v/>
      </c>
      <c r="AD14" s="5">
        <f>SUMIFS(Catálogo!$Z:Z,Catálogo!$A:$A,$A14)</f>
        <v/>
      </c>
      <c r="AE14" s="5">
        <f>SUMIFS(Catálogo!$J:$J,Catálogo!$A:$A,$A14)</f>
        <v/>
      </c>
      <c r="AF14" s="5">
        <f>SUMIFS(Catálogo!$Z:Z,Catálogo!$A:$A,$A14)</f>
        <v/>
      </c>
      <c r="AG14" s="5">
        <f>SUMIFS(Catálogo!$L:$L,Catálogo!$A:$A,$A14)</f>
        <v/>
      </c>
      <c r="AH14" s="5">
        <f>SUMIFS(Catálogo!$Z:Z,Catálogo!$A:$A,$A14)</f>
        <v/>
      </c>
      <c r="AI14" s="5">
        <f>SUMIFS(Catálogo!$N:$N,Catálogo!$A:$A,$A14)</f>
        <v/>
      </c>
      <c r="AJ14" s="5">
        <f>SUMIFS(Catálogo!$Z:Z,Catálogo!$A:$A,$A14)</f>
        <v/>
      </c>
    </row>
    <row r="15">
      <c r="A15" t="inlineStr">
        <is>
          <t>RTA-06</t>
        </is>
      </c>
      <c r="B15" t="inlineStr">
        <is>
          <t>Mecanicas sobre asset realtime</t>
        </is>
      </c>
      <c r="C15" t="inlineStr">
        <is>
          <t>asset-rt</t>
        </is>
      </c>
      <c r="D15" t="inlineStr">
        <is>
          <t>2-40</t>
        </is>
      </c>
      <c r="E15" s="11">
        <f>IF(SUMIFS(Catálogo!$F:$F,Catálogo!$A:$A,$A15)=0,SUMIFS(Catálogo!$H:$H,Catálogo!$A:$A,$A15),SUMIFS(Catálogo!$F:$F,Catálogo!$A:$A,$A15))</f>
        <v/>
      </c>
      <c r="F15" s="11">
        <f>IF(SUMIFS(Catálogo!$G:$G,Catálogo!$A:$A,$A15)=0,SUMIFS(Catálogo!$I:$I,Catálogo!$A:$A,$A15),SUMIFS(Catálogo!$G:$G,Catálogo!$A:$A,$A15))</f>
        <v/>
      </c>
      <c r="G15" s="5">
        <f>IF(SUMIFS(Catálogo!$F:$F,Catálogo!$A:$A,$A15)=0,MAX(FLOOR(SUMIFS(Catálogo!$T:$T,Catálogo!$A:$A,$A15),1000),400000),MAX(FLOOR(SUMIFS(Catálogo!$R:$R,Catálogo!$A:$A,$A15),1000),400000))</f>
        <v/>
      </c>
      <c r="H15" s="5">
        <f>IF(SUMIFS(Catálogo!$G:$G,Catálogo!$A:$A,$A15)=0,MAX(CEILING(SUMIFS(Catálogo!$U:$U,Catálogo!$A:$A,$A15),1000),400000),MAX(CEILING(SUMIFS(Catálogo!$S:$S,Catálogo!$A:$A,$A15),1000),400000))</f>
        <v/>
      </c>
      <c r="I15" s="11">
        <f>SUMIFS(Catálogo!$H:$H,Catálogo!$A:$A,$A15)</f>
        <v/>
      </c>
      <c r="J15" s="11">
        <f>SUMIFS(Catálogo!$I:$I,Catálogo!$A:$A,$A15)</f>
        <v/>
      </c>
      <c r="K15" s="5">
        <f>MAX(FLOOR(SUMIFS(Catálogo!$T:T,Catálogo!$A:$A,$A15),1000),400000)</f>
        <v/>
      </c>
      <c r="L15" s="5">
        <f>MAX(CEILING(SUMIFS(Catálogo!$U:U,Catálogo!$A:$A,$A15),1000),400000)</f>
        <v/>
      </c>
      <c r="M15" s="11">
        <f>SUMIFS(Catálogo!$J:$J,Catálogo!$A:$A,$A15)</f>
        <v/>
      </c>
      <c r="N15" s="11">
        <f>SUMIFS(Catálogo!$K:$K,Catálogo!$A:$A,$A15)</f>
        <v/>
      </c>
      <c r="O15" s="5">
        <f>MAX(FLOOR(SUMIFS(Catálogo!$V:V,Catálogo!$A:$A,$A15),1000),400000)</f>
        <v/>
      </c>
      <c r="P15" s="5">
        <f>MAX(CEILING(SUMIFS(Catálogo!$W:W,Catálogo!$A:$A,$A15),1000),400000)</f>
        <v/>
      </c>
      <c r="Q15" s="11">
        <f>SUMIFS(Catálogo!$L:$L,Catálogo!$A:$A,$A15)</f>
        <v/>
      </c>
      <c r="R15" s="11">
        <f>SUMIFS(Catálogo!$M:$M,Catálogo!$A:$A,$A15)</f>
        <v/>
      </c>
      <c r="S15" s="5">
        <f>MAX(FLOOR(SUMIFS(Catálogo!$X:X,Catálogo!$A:$A,$A15),1000),400000)</f>
        <v/>
      </c>
      <c r="T15" s="5">
        <f>MAX(CEILING(SUMIFS(Catálogo!$Y:Y,Catálogo!$A:$A,$A15),1000),400000)</f>
        <v/>
      </c>
      <c r="U15" s="11">
        <f>SUMIFS(Catálogo!$N:$N,Catálogo!$A:$A,$A15)</f>
        <v/>
      </c>
      <c r="V15" s="11">
        <f>SUMIFS(Catálogo!$O:$O,Catálogo!$A:$A,$A15)</f>
        <v/>
      </c>
      <c r="W15" s="5">
        <f>MAX(FLOOR(SUMIFS(Catálogo!$Z:Z,Catálogo!$A:$A,$A15),1000),400000)</f>
        <v/>
      </c>
      <c r="X15" s="5">
        <f>MAX(CEILING(SUMIFS(Catálogo!$AA:AA,Catálogo!$A:$A,$A15),1000),400000)</f>
        <v/>
      </c>
      <c r="Y15" s="12">
        <f>K15</f>
        <v/>
      </c>
      <c r="AA15" s="5">
        <f>SUMIFS(Catálogo!$F:$F,Catálogo!$A:$A,$A15)</f>
        <v/>
      </c>
      <c r="AB15" s="5">
        <f>SUMIFS(Catálogo!$Z:Z,Catálogo!$A:$A,$A15)</f>
        <v/>
      </c>
      <c r="AC15" s="5">
        <f>SUMIFS(Catálogo!$H:$H,Catálogo!$A:$A,$A15)</f>
        <v/>
      </c>
      <c r="AD15" s="5">
        <f>SUMIFS(Catálogo!$Z:Z,Catálogo!$A:$A,$A15)</f>
        <v/>
      </c>
      <c r="AE15" s="5">
        <f>SUMIFS(Catálogo!$J:$J,Catálogo!$A:$A,$A15)</f>
        <v/>
      </c>
      <c r="AF15" s="5">
        <f>SUMIFS(Catálogo!$Z:Z,Catálogo!$A:$A,$A15)</f>
        <v/>
      </c>
      <c r="AG15" s="5">
        <f>SUMIFS(Catálogo!$L:$L,Catálogo!$A:$A,$A15)</f>
        <v/>
      </c>
      <c r="AH15" s="5">
        <f>SUMIFS(Catálogo!$Z:Z,Catálogo!$A:$A,$A15)</f>
        <v/>
      </c>
      <c r="AI15" s="5">
        <f>SUMIFS(Catálogo!$N:$N,Catálogo!$A:$A,$A15)</f>
        <v/>
      </c>
      <c r="AJ15" s="5">
        <f>SUMIFS(Catálogo!$Z:Z,Catálogo!$A:$A,$A15)</f>
        <v/>
      </c>
    </row>
    <row r="16">
      <c r="A16" t="inlineStr">
        <is>
          <t>WEB-02</t>
        </is>
      </c>
      <c r="B16" t="inlineStr">
        <is>
          <t>Visor embebido (Spline/Sketchfab/model-viewer)</t>
        </is>
      </c>
      <c r="C16" t="inlineStr">
        <is>
          <t>web-3d</t>
        </is>
      </c>
      <c r="D16" t="inlineStr">
        <is>
          <t>1-15</t>
        </is>
      </c>
      <c r="E16" s="11">
        <f>IF(SUMIFS(Catálogo!$F:$F,Catálogo!$A:$A,$A16)=0,SUMIFS(Catálogo!$H:$H,Catálogo!$A:$A,$A16),SUMIFS(Catálogo!$F:$F,Catálogo!$A:$A,$A16))</f>
        <v/>
      </c>
      <c r="F16" s="11">
        <f>IF(SUMIFS(Catálogo!$G:$G,Catálogo!$A:$A,$A16)=0,SUMIFS(Catálogo!$I:$I,Catálogo!$A:$A,$A16),SUMIFS(Catálogo!$G:$G,Catálogo!$A:$A,$A16))</f>
        <v/>
      </c>
      <c r="G16" s="5">
        <f>IF(SUMIFS(Catálogo!$F:$F,Catálogo!$A:$A,$A16)=0,MAX(FLOOR(SUMIFS(Catálogo!$T:$T,Catálogo!$A:$A,$A16),1000),400000),MAX(FLOOR(SUMIFS(Catálogo!$R:$R,Catálogo!$A:$A,$A16),1000),400000))</f>
        <v/>
      </c>
      <c r="H16" s="5">
        <f>IF(SUMIFS(Catálogo!$G:$G,Catálogo!$A:$A,$A16)=0,MAX(CEILING(SUMIFS(Catálogo!$U:$U,Catálogo!$A:$A,$A16),1000),400000),MAX(CEILING(SUMIFS(Catálogo!$S:$S,Catálogo!$A:$A,$A16),1000),400000))</f>
        <v/>
      </c>
      <c r="I16" s="11">
        <f>SUMIFS(Catálogo!$H:$H,Catálogo!$A:$A,$A16)</f>
        <v/>
      </c>
      <c r="J16" s="11">
        <f>SUMIFS(Catálogo!$I:$I,Catálogo!$A:$A,$A16)</f>
        <v/>
      </c>
      <c r="K16" s="5">
        <f>MAX(FLOOR(SUMIFS(Catálogo!$T:T,Catálogo!$A:$A,$A16),1000),400000)</f>
        <v/>
      </c>
      <c r="L16" s="5">
        <f>MAX(CEILING(SUMIFS(Catálogo!$U:U,Catálogo!$A:$A,$A16),1000),400000)</f>
        <v/>
      </c>
      <c r="M16" s="11">
        <f>SUMIFS(Catálogo!$J:$J,Catálogo!$A:$A,$A16)</f>
        <v/>
      </c>
      <c r="N16" s="11">
        <f>SUMIFS(Catálogo!$K:$K,Catálogo!$A:$A,$A16)</f>
        <v/>
      </c>
      <c r="O16" s="5">
        <f>MAX(FLOOR(SUMIFS(Catálogo!$V:V,Catálogo!$A:$A,$A16),1000),400000)</f>
        <v/>
      </c>
      <c r="P16" s="5">
        <f>MAX(CEILING(SUMIFS(Catálogo!$W:W,Catálogo!$A:$A,$A16),1000),400000)</f>
        <v/>
      </c>
      <c r="Q16" s="11">
        <f>SUMIFS(Catálogo!$L:$L,Catálogo!$A:$A,$A16)</f>
        <v/>
      </c>
      <c r="R16" s="11">
        <f>SUMIFS(Catálogo!$M:$M,Catálogo!$A:$A,$A16)</f>
        <v/>
      </c>
      <c r="S16" s="5">
        <f>MAX(FLOOR(SUMIFS(Catálogo!$X:X,Catálogo!$A:$A,$A16),1000),400000)</f>
        <v/>
      </c>
      <c r="T16" s="5">
        <f>MAX(CEILING(SUMIFS(Catálogo!$Y:Y,Catálogo!$A:$A,$A16),1000),400000)</f>
        <v/>
      </c>
      <c r="U16" s="11">
        <f>SUMIFS(Catálogo!$N:$N,Catálogo!$A:$A,$A16)</f>
        <v/>
      </c>
      <c r="V16" s="11">
        <f>SUMIFS(Catálogo!$O:$O,Catálogo!$A:$A,$A16)</f>
        <v/>
      </c>
      <c r="W16" s="5">
        <f>MAX(FLOOR(SUMIFS(Catálogo!$Z:Z,Catálogo!$A:$A,$A16),1000),400000)</f>
        <v/>
      </c>
      <c r="X16" s="5">
        <f>MAX(CEILING(SUMIFS(Catálogo!$AA:AA,Catálogo!$A:$A,$A16),1000),400000)</f>
        <v/>
      </c>
      <c r="Y16" s="12">
        <f>K16</f>
        <v/>
      </c>
      <c r="AA16" s="5">
        <f>SUMIFS(Catálogo!$F:$F,Catálogo!$A:$A,$A16)</f>
        <v/>
      </c>
      <c r="AB16" s="5">
        <f>SUMIFS(Catálogo!$Z:Z,Catálogo!$A:$A,$A16)</f>
        <v/>
      </c>
      <c r="AC16" s="5">
        <f>SUMIFS(Catálogo!$H:$H,Catálogo!$A:$A,$A16)</f>
        <v/>
      </c>
      <c r="AD16" s="5">
        <f>SUMIFS(Catálogo!$Z:Z,Catálogo!$A:$A,$A16)</f>
        <v/>
      </c>
      <c r="AE16" s="5">
        <f>SUMIFS(Catálogo!$J:$J,Catálogo!$A:$A,$A16)</f>
        <v/>
      </c>
      <c r="AF16" s="5">
        <f>SUMIFS(Catálogo!$Z:Z,Catálogo!$A:$A,$A16)</f>
        <v/>
      </c>
      <c r="AG16" s="5">
        <f>SUMIFS(Catálogo!$L:$L,Catálogo!$A:$A,$A16)</f>
        <v/>
      </c>
      <c r="AH16" s="5">
        <f>SUMIFS(Catálogo!$Z:Z,Catálogo!$A:$A,$A16)</f>
        <v/>
      </c>
      <c r="AI16" s="5">
        <f>SUMIFS(Catálogo!$N:$N,Catálogo!$A:$A,$A16)</f>
        <v/>
      </c>
      <c r="AJ16" s="5">
        <f>SUMIFS(Catálogo!$Z:Z,Catálogo!$A:$A,$A16)</f>
        <v/>
      </c>
    </row>
    <row r="17">
      <c r="A17" t="inlineStr">
        <is>
          <t>WEB-03</t>
        </is>
      </c>
      <c r="B17" t="inlineStr">
        <is>
          <t>Unity WebGL: build y embedding</t>
        </is>
      </c>
      <c r="C17" t="inlineStr">
        <is>
          <t>web-3d</t>
        </is>
      </c>
      <c r="D17" t="inlineStr">
        <is>
          <t>3-70</t>
        </is>
      </c>
      <c r="E17" s="11">
        <f>IF(SUMIFS(Catálogo!$F:$F,Catálogo!$A:$A,$A17)=0,SUMIFS(Catálogo!$H:$H,Catálogo!$A:$A,$A17),SUMIFS(Catálogo!$F:$F,Catálogo!$A:$A,$A17))</f>
        <v/>
      </c>
      <c r="F17" s="11">
        <f>IF(SUMIFS(Catálogo!$G:$G,Catálogo!$A:$A,$A17)=0,SUMIFS(Catálogo!$I:$I,Catálogo!$A:$A,$A17),SUMIFS(Catálogo!$G:$G,Catálogo!$A:$A,$A17))</f>
        <v/>
      </c>
      <c r="G17" s="5">
        <f>IF(SUMIFS(Catálogo!$F:$F,Catálogo!$A:$A,$A17)=0,MAX(FLOOR(SUMIFS(Catálogo!$T:$T,Catálogo!$A:$A,$A17),1000),400000),MAX(FLOOR(SUMIFS(Catálogo!$R:$R,Catálogo!$A:$A,$A17),1000),400000))</f>
        <v/>
      </c>
      <c r="H17" s="5">
        <f>IF(SUMIFS(Catálogo!$G:$G,Catálogo!$A:$A,$A17)=0,MAX(CEILING(SUMIFS(Catálogo!$U:$U,Catálogo!$A:$A,$A17),1000),400000),MAX(CEILING(SUMIFS(Catálogo!$S:$S,Catálogo!$A:$A,$A17),1000),400000))</f>
        <v/>
      </c>
      <c r="I17" s="11">
        <f>SUMIFS(Catálogo!$H:$H,Catálogo!$A:$A,$A17)</f>
        <v/>
      </c>
      <c r="J17" s="11">
        <f>SUMIFS(Catálogo!$I:$I,Catálogo!$A:$A,$A17)</f>
        <v/>
      </c>
      <c r="K17" s="5">
        <f>MAX(FLOOR(SUMIFS(Catálogo!$T:T,Catálogo!$A:$A,$A17),1000),400000)</f>
        <v/>
      </c>
      <c r="L17" s="5">
        <f>MAX(CEILING(SUMIFS(Catálogo!$U:U,Catálogo!$A:$A,$A17),1000),400000)</f>
        <v/>
      </c>
      <c r="M17" s="11">
        <f>SUMIFS(Catálogo!$J:$J,Catálogo!$A:$A,$A17)</f>
        <v/>
      </c>
      <c r="N17" s="11">
        <f>SUMIFS(Catálogo!$K:$K,Catálogo!$A:$A,$A17)</f>
        <v/>
      </c>
      <c r="O17" s="5">
        <f>MAX(FLOOR(SUMIFS(Catálogo!$V:V,Catálogo!$A:$A,$A17),1000),400000)</f>
        <v/>
      </c>
      <c r="P17" s="5">
        <f>MAX(CEILING(SUMIFS(Catálogo!$W:W,Catálogo!$A:$A,$A17),1000),400000)</f>
        <v/>
      </c>
      <c r="Q17" s="11">
        <f>SUMIFS(Catálogo!$L:$L,Catálogo!$A:$A,$A17)</f>
        <v/>
      </c>
      <c r="R17" s="11">
        <f>SUMIFS(Catálogo!$M:$M,Catálogo!$A:$A,$A17)</f>
        <v/>
      </c>
      <c r="S17" s="5">
        <f>MAX(FLOOR(SUMIFS(Catálogo!$X:X,Catálogo!$A:$A,$A17),1000),400000)</f>
        <v/>
      </c>
      <c r="T17" s="5">
        <f>MAX(CEILING(SUMIFS(Catálogo!$Y:Y,Catálogo!$A:$A,$A17),1000),400000)</f>
        <v/>
      </c>
      <c r="U17" s="11">
        <f>SUMIFS(Catálogo!$N:$N,Catálogo!$A:$A,$A17)</f>
        <v/>
      </c>
      <c r="V17" s="11">
        <f>SUMIFS(Catálogo!$O:$O,Catálogo!$A:$A,$A17)</f>
        <v/>
      </c>
      <c r="W17" s="5">
        <f>MAX(FLOOR(SUMIFS(Catálogo!$Z:Z,Catálogo!$A:$A,$A17),1000),400000)</f>
        <v/>
      </c>
      <c r="X17" s="5">
        <f>MAX(CEILING(SUMIFS(Catálogo!$AA:AA,Catálogo!$A:$A,$A17),1000),400000)</f>
        <v/>
      </c>
      <c r="Y17" s="12">
        <f>K17</f>
        <v/>
      </c>
      <c r="AA17" s="5">
        <f>SUMIFS(Catálogo!$F:$F,Catálogo!$A:$A,$A17)</f>
        <v/>
      </c>
      <c r="AB17" s="5">
        <f>SUMIFS(Catálogo!$Z:Z,Catálogo!$A:$A,$A17)</f>
        <v/>
      </c>
      <c r="AC17" s="5">
        <f>SUMIFS(Catálogo!$H:$H,Catálogo!$A:$A,$A17)</f>
        <v/>
      </c>
      <c r="AD17" s="5">
        <f>SUMIFS(Catálogo!$Z:Z,Catálogo!$A:$A,$A17)</f>
        <v/>
      </c>
      <c r="AE17" s="5">
        <f>SUMIFS(Catálogo!$J:$J,Catálogo!$A:$A,$A17)</f>
        <v/>
      </c>
      <c r="AF17" s="5">
        <f>SUMIFS(Catálogo!$Z:Z,Catálogo!$A:$A,$A17)</f>
        <v/>
      </c>
      <c r="AG17" s="5">
        <f>SUMIFS(Catálogo!$L:$L,Catálogo!$A:$A,$A17)</f>
        <v/>
      </c>
      <c r="AH17" s="5">
        <f>SUMIFS(Catálogo!$Z:Z,Catálogo!$A:$A,$A17)</f>
        <v/>
      </c>
      <c r="AI17" s="5">
        <f>SUMIFS(Catálogo!$N:$N,Catálogo!$A:$A,$A17)</f>
        <v/>
      </c>
      <c r="AJ17" s="5">
        <f>SUMIFS(Catálogo!$Z:Z,Catálogo!$A:$A,$A17)</f>
        <v/>
      </c>
    </row>
    <row r="18">
      <c r="A18" t="inlineStr">
        <is>
          <t>WEB-05</t>
        </is>
      </c>
      <c r="B18" t="inlineStr">
        <is>
          <t>Scrollytelling con 3D</t>
        </is>
      </c>
      <c r="C18" t="inlineStr">
        <is>
          <t>web-3d</t>
        </is>
      </c>
      <c r="D18" t="inlineStr">
        <is>
          <t>4-120</t>
        </is>
      </c>
      <c r="E18" s="11">
        <f>IF(SUMIFS(Catálogo!$F:$F,Catálogo!$A:$A,$A18)=0,SUMIFS(Catálogo!$H:$H,Catálogo!$A:$A,$A18),SUMIFS(Catálogo!$F:$F,Catálogo!$A:$A,$A18))</f>
        <v/>
      </c>
      <c r="F18" s="11">
        <f>IF(SUMIFS(Catálogo!$G:$G,Catálogo!$A:$A,$A18)=0,SUMIFS(Catálogo!$I:$I,Catálogo!$A:$A,$A18),SUMIFS(Catálogo!$G:$G,Catálogo!$A:$A,$A18))</f>
        <v/>
      </c>
      <c r="G18" s="5">
        <f>IF(SUMIFS(Catálogo!$F:$F,Catálogo!$A:$A,$A18)=0,MAX(FLOOR(SUMIFS(Catálogo!$T:$T,Catálogo!$A:$A,$A18),1000),400000),MAX(FLOOR(SUMIFS(Catálogo!$R:$R,Catálogo!$A:$A,$A18),1000),400000))</f>
        <v/>
      </c>
      <c r="H18" s="5">
        <f>IF(SUMIFS(Catálogo!$G:$G,Catálogo!$A:$A,$A18)=0,MAX(CEILING(SUMIFS(Catálogo!$U:$U,Catálogo!$A:$A,$A18),1000),400000),MAX(CEILING(SUMIFS(Catálogo!$S:$S,Catálogo!$A:$A,$A18),1000),400000))</f>
        <v/>
      </c>
      <c r="I18" s="11">
        <f>SUMIFS(Catálogo!$H:$H,Catálogo!$A:$A,$A18)</f>
        <v/>
      </c>
      <c r="J18" s="11">
        <f>SUMIFS(Catálogo!$I:$I,Catálogo!$A:$A,$A18)</f>
        <v/>
      </c>
      <c r="K18" s="5">
        <f>MAX(FLOOR(SUMIFS(Catálogo!$T:T,Catálogo!$A:$A,$A18),1000),400000)</f>
        <v/>
      </c>
      <c r="L18" s="5">
        <f>MAX(CEILING(SUMIFS(Catálogo!$U:U,Catálogo!$A:$A,$A18),1000),400000)</f>
        <v/>
      </c>
      <c r="M18" s="11">
        <f>SUMIFS(Catálogo!$J:$J,Catálogo!$A:$A,$A18)</f>
        <v/>
      </c>
      <c r="N18" s="11">
        <f>SUMIFS(Catálogo!$K:$K,Catálogo!$A:$A,$A18)</f>
        <v/>
      </c>
      <c r="O18" s="5">
        <f>MAX(FLOOR(SUMIFS(Catálogo!$V:V,Catálogo!$A:$A,$A18),1000),400000)</f>
        <v/>
      </c>
      <c r="P18" s="5">
        <f>MAX(CEILING(SUMIFS(Catálogo!$W:W,Catálogo!$A:$A,$A18),1000),400000)</f>
        <v/>
      </c>
      <c r="Q18" s="11">
        <f>SUMIFS(Catálogo!$L:$L,Catálogo!$A:$A,$A18)</f>
        <v/>
      </c>
      <c r="R18" s="11">
        <f>SUMIFS(Catálogo!$M:$M,Catálogo!$A:$A,$A18)</f>
        <v/>
      </c>
      <c r="S18" s="5">
        <f>MAX(FLOOR(SUMIFS(Catálogo!$X:X,Catálogo!$A:$A,$A18),1000),400000)</f>
        <v/>
      </c>
      <c r="T18" s="5">
        <f>MAX(CEILING(SUMIFS(Catálogo!$Y:Y,Catálogo!$A:$A,$A18),1000),400000)</f>
        <v/>
      </c>
      <c r="U18" s="11">
        <f>SUMIFS(Catálogo!$N:$N,Catálogo!$A:$A,$A18)</f>
        <v/>
      </c>
      <c r="V18" s="11">
        <f>SUMIFS(Catálogo!$O:$O,Catálogo!$A:$A,$A18)</f>
        <v/>
      </c>
      <c r="W18" s="5">
        <f>MAX(FLOOR(SUMIFS(Catálogo!$Z:Z,Catálogo!$A:$A,$A18),1000),400000)</f>
        <v/>
      </c>
      <c r="X18" s="5">
        <f>MAX(CEILING(SUMIFS(Catálogo!$AA:AA,Catálogo!$A:$A,$A18),1000),400000)</f>
        <v/>
      </c>
      <c r="Y18" s="12">
        <f>K18</f>
        <v/>
      </c>
      <c r="AA18" s="5">
        <f>SUMIFS(Catálogo!$F:$F,Catálogo!$A:$A,$A18)</f>
        <v/>
      </c>
      <c r="AB18" s="5">
        <f>SUMIFS(Catálogo!$Z:Z,Catálogo!$A:$A,$A18)</f>
        <v/>
      </c>
      <c r="AC18" s="5">
        <f>SUMIFS(Catálogo!$H:$H,Catálogo!$A:$A,$A18)</f>
        <v/>
      </c>
      <c r="AD18" s="5">
        <f>SUMIFS(Catálogo!$Z:Z,Catálogo!$A:$A,$A18)</f>
        <v/>
      </c>
      <c r="AE18" s="5">
        <f>SUMIFS(Catálogo!$J:$J,Catálogo!$A:$A,$A18)</f>
        <v/>
      </c>
      <c r="AF18" s="5">
        <f>SUMIFS(Catálogo!$Z:Z,Catálogo!$A:$A,$A18)</f>
        <v/>
      </c>
      <c r="AG18" s="5">
        <f>SUMIFS(Catálogo!$L:$L,Catálogo!$A:$A,$A18)</f>
        <v/>
      </c>
      <c r="AH18" s="5">
        <f>SUMIFS(Catálogo!$Z:Z,Catálogo!$A:$A,$A18)</f>
        <v/>
      </c>
      <c r="AI18" s="5">
        <f>SUMIFS(Catálogo!$N:$N,Catálogo!$A:$A,$A18)</f>
        <v/>
      </c>
      <c r="AJ18" s="5">
        <f>SUMIFS(Catálogo!$Z:Z,Catálogo!$A:$A,$A18)</f>
        <v/>
      </c>
    </row>
    <row r="19">
      <c r="A19" t="inlineStr">
        <is>
          <t>WEB-06</t>
        </is>
      </c>
      <c r="B19" t="inlineStr">
        <is>
          <t>Minijuego web</t>
        </is>
      </c>
      <c r="C19" t="inlineStr">
        <is>
          <t>web-3d</t>
        </is>
      </c>
      <c r="D19" t="inlineStr">
        <is>
          <t>15-180</t>
        </is>
      </c>
      <c r="E19" s="11">
        <f>IF(SUMIFS(Catálogo!$F:$F,Catálogo!$A:$A,$A19)=0,SUMIFS(Catálogo!$H:$H,Catálogo!$A:$A,$A19),SUMIFS(Catálogo!$F:$F,Catálogo!$A:$A,$A19))</f>
        <v/>
      </c>
      <c r="F19" s="11">
        <f>IF(SUMIFS(Catálogo!$G:$G,Catálogo!$A:$A,$A19)=0,SUMIFS(Catálogo!$I:$I,Catálogo!$A:$A,$A19),SUMIFS(Catálogo!$G:$G,Catálogo!$A:$A,$A19))</f>
        <v/>
      </c>
      <c r="G19" s="5">
        <f>IF(SUMIFS(Catálogo!$F:$F,Catálogo!$A:$A,$A19)=0,MAX(FLOOR(SUMIFS(Catálogo!$T:$T,Catálogo!$A:$A,$A19),1000),400000),MAX(FLOOR(SUMIFS(Catálogo!$R:$R,Catálogo!$A:$A,$A19),1000),400000))</f>
        <v/>
      </c>
      <c r="H19" s="5">
        <f>IF(SUMIFS(Catálogo!$G:$G,Catálogo!$A:$A,$A19)=0,MAX(CEILING(SUMIFS(Catálogo!$U:$U,Catálogo!$A:$A,$A19),1000),400000),MAX(CEILING(SUMIFS(Catálogo!$S:$S,Catálogo!$A:$A,$A19),1000),400000))</f>
        <v/>
      </c>
      <c r="I19" s="11">
        <f>SUMIFS(Catálogo!$H:$H,Catálogo!$A:$A,$A19)</f>
        <v/>
      </c>
      <c r="J19" s="11">
        <f>SUMIFS(Catálogo!$I:$I,Catálogo!$A:$A,$A19)</f>
        <v/>
      </c>
      <c r="K19" s="5">
        <f>MAX(FLOOR(SUMIFS(Catálogo!$T:T,Catálogo!$A:$A,$A19),1000),400000)</f>
        <v/>
      </c>
      <c r="L19" s="5">
        <f>MAX(CEILING(SUMIFS(Catálogo!$U:U,Catálogo!$A:$A,$A19),1000),400000)</f>
        <v/>
      </c>
      <c r="M19" s="11">
        <f>SUMIFS(Catálogo!$J:$J,Catálogo!$A:$A,$A19)</f>
        <v/>
      </c>
      <c r="N19" s="11">
        <f>SUMIFS(Catálogo!$K:$K,Catálogo!$A:$A,$A19)</f>
        <v/>
      </c>
      <c r="O19" s="5">
        <f>MAX(FLOOR(SUMIFS(Catálogo!$V:V,Catálogo!$A:$A,$A19),1000),400000)</f>
        <v/>
      </c>
      <c r="P19" s="5">
        <f>MAX(CEILING(SUMIFS(Catálogo!$W:W,Catálogo!$A:$A,$A19),1000),400000)</f>
        <v/>
      </c>
      <c r="Q19" s="11">
        <f>SUMIFS(Catálogo!$L:$L,Catálogo!$A:$A,$A19)</f>
        <v/>
      </c>
      <c r="R19" s="11">
        <f>SUMIFS(Catálogo!$M:$M,Catálogo!$A:$A,$A19)</f>
        <v/>
      </c>
      <c r="S19" s="5">
        <f>MAX(FLOOR(SUMIFS(Catálogo!$X:X,Catálogo!$A:$A,$A19),1000),400000)</f>
        <v/>
      </c>
      <c r="T19" s="5">
        <f>MAX(CEILING(SUMIFS(Catálogo!$Y:Y,Catálogo!$A:$A,$A19),1000),400000)</f>
        <v/>
      </c>
      <c r="U19" s="11">
        <f>SUMIFS(Catálogo!$N:$N,Catálogo!$A:$A,$A19)</f>
        <v/>
      </c>
      <c r="V19" s="11">
        <f>SUMIFS(Catálogo!$O:$O,Catálogo!$A:$A,$A19)</f>
        <v/>
      </c>
      <c r="W19" s="5">
        <f>MAX(FLOOR(SUMIFS(Catálogo!$Z:Z,Catálogo!$A:$A,$A19),1000),400000)</f>
        <v/>
      </c>
      <c r="X19" s="5">
        <f>MAX(CEILING(SUMIFS(Catálogo!$AA:AA,Catálogo!$A:$A,$A19),1000),400000)</f>
        <v/>
      </c>
      <c r="Y19" s="12">
        <f>K19</f>
        <v/>
      </c>
      <c r="AA19" s="5">
        <f>SUMIFS(Catálogo!$F:$F,Catálogo!$A:$A,$A19)</f>
        <v/>
      </c>
      <c r="AB19" s="5">
        <f>SUMIFS(Catálogo!$Z:Z,Catálogo!$A:$A,$A19)</f>
        <v/>
      </c>
      <c r="AC19" s="5">
        <f>SUMIFS(Catálogo!$H:$H,Catálogo!$A:$A,$A19)</f>
        <v/>
      </c>
      <c r="AD19" s="5">
        <f>SUMIFS(Catálogo!$Z:Z,Catálogo!$A:$A,$A19)</f>
        <v/>
      </c>
      <c r="AE19" s="5">
        <f>SUMIFS(Catálogo!$J:$J,Catálogo!$A:$A,$A19)</f>
        <v/>
      </c>
      <c r="AF19" s="5">
        <f>SUMIFS(Catálogo!$Z:Z,Catálogo!$A:$A,$A19)</f>
        <v/>
      </c>
      <c r="AG19" s="5">
        <f>SUMIFS(Catálogo!$L:$L,Catálogo!$A:$A,$A19)</f>
        <v/>
      </c>
      <c r="AH19" s="5">
        <f>SUMIFS(Catálogo!$Z:Z,Catálogo!$A:$A,$A19)</f>
        <v/>
      </c>
      <c r="AI19" s="5">
        <f>SUMIFS(Catálogo!$N:$N,Catálogo!$A:$A,$A19)</f>
        <v/>
      </c>
      <c r="AJ19" s="5">
        <f>SUMIFS(Catálogo!$Z:Z,Catálogo!$A:$A,$A19)</f>
        <v/>
      </c>
    </row>
    <row r="20">
      <c r="A20" t="inlineStr">
        <is>
          <t>WEB-07</t>
        </is>
      </c>
      <c r="B20" t="inlineStr">
        <is>
          <t>Catalogo interactivo 3D</t>
        </is>
      </c>
      <c r="C20" t="inlineStr">
        <is>
          <t>web-3d</t>
        </is>
      </c>
      <c r="D20" t="inlineStr">
        <is>
          <t>10-160</t>
        </is>
      </c>
      <c r="E20" s="11">
        <f>IF(SUMIFS(Catálogo!$F:$F,Catálogo!$A:$A,$A20)=0,SUMIFS(Catálogo!$H:$H,Catálogo!$A:$A,$A20),SUMIFS(Catálogo!$F:$F,Catálogo!$A:$A,$A20))</f>
        <v/>
      </c>
      <c r="F20" s="11">
        <f>IF(SUMIFS(Catálogo!$G:$G,Catálogo!$A:$A,$A20)=0,SUMIFS(Catálogo!$I:$I,Catálogo!$A:$A,$A20),SUMIFS(Catálogo!$G:$G,Catálogo!$A:$A,$A20))</f>
        <v/>
      </c>
      <c r="G20" s="5">
        <f>IF(SUMIFS(Catálogo!$F:$F,Catálogo!$A:$A,$A20)=0,MAX(FLOOR(SUMIFS(Catálogo!$T:$T,Catálogo!$A:$A,$A20),1000),400000),MAX(FLOOR(SUMIFS(Catálogo!$R:$R,Catálogo!$A:$A,$A20),1000),400000))</f>
        <v/>
      </c>
      <c r="H20" s="5">
        <f>IF(SUMIFS(Catálogo!$G:$G,Catálogo!$A:$A,$A20)=0,MAX(CEILING(SUMIFS(Catálogo!$U:$U,Catálogo!$A:$A,$A20),1000),400000),MAX(CEILING(SUMIFS(Catálogo!$S:$S,Catálogo!$A:$A,$A20),1000),400000))</f>
        <v/>
      </c>
      <c r="I20" s="11">
        <f>SUMIFS(Catálogo!$H:$H,Catálogo!$A:$A,$A20)</f>
        <v/>
      </c>
      <c r="J20" s="11">
        <f>SUMIFS(Catálogo!$I:$I,Catálogo!$A:$A,$A20)</f>
        <v/>
      </c>
      <c r="K20" s="5">
        <f>MAX(FLOOR(SUMIFS(Catálogo!$T:T,Catálogo!$A:$A,$A20),1000),400000)</f>
        <v/>
      </c>
      <c r="L20" s="5">
        <f>MAX(CEILING(SUMIFS(Catálogo!$U:U,Catálogo!$A:$A,$A20),1000),400000)</f>
        <v/>
      </c>
      <c r="M20" s="11">
        <f>SUMIFS(Catálogo!$J:$J,Catálogo!$A:$A,$A20)</f>
        <v/>
      </c>
      <c r="N20" s="11">
        <f>SUMIFS(Catálogo!$K:$K,Catálogo!$A:$A,$A20)</f>
        <v/>
      </c>
      <c r="O20" s="5">
        <f>MAX(FLOOR(SUMIFS(Catálogo!$V:V,Catálogo!$A:$A,$A20),1000),400000)</f>
        <v/>
      </c>
      <c r="P20" s="5">
        <f>MAX(CEILING(SUMIFS(Catálogo!$W:W,Catálogo!$A:$A,$A20),1000),400000)</f>
        <v/>
      </c>
      <c r="Q20" s="11">
        <f>SUMIFS(Catálogo!$L:$L,Catálogo!$A:$A,$A20)</f>
        <v/>
      </c>
      <c r="R20" s="11">
        <f>SUMIFS(Catálogo!$M:$M,Catálogo!$A:$A,$A20)</f>
        <v/>
      </c>
      <c r="S20" s="5">
        <f>MAX(FLOOR(SUMIFS(Catálogo!$X:X,Catálogo!$A:$A,$A20),1000),400000)</f>
        <v/>
      </c>
      <c r="T20" s="5">
        <f>MAX(CEILING(SUMIFS(Catálogo!$Y:Y,Catálogo!$A:$A,$A20),1000),400000)</f>
        <v/>
      </c>
      <c r="U20" s="11">
        <f>SUMIFS(Catálogo!$N:$N,Catálogo!$A:$A,$A20)</f>
        <v/>
      </c>
      <c r="V20" s="11">
        <f>SUMIFS(Catálogo!$O:$O,Catálogo!$A:$A,$A20)</f>
        <v/>
      </c>
      <c r="W20" s="5">
        <f>MAX(FLOOR(SUMIFS(Catálogo!$Z:Z,Catálogo!$A:$A,$A20),1000),400000)</f>
        <v/>
      </c>
      <c r="X20" s="5">
        <f>MAX(CEILING(SUMIFS(Catálogo!$AA:AA,Catálogo!$A:$A,$A20),1000),400000)</f>
        <v/>
      </c>
      <c r="Y20" s="12">
        <f>K20</f>
        <v/>
      </c>
      <c r="AA20" s="5">
        <f>SUMIFS(Catálogo!$F:$F,Catálogo!$A:$A,$A20)</f>
        <v/>
      </c>
      <c r="AB20" s="5">
        <f>SUMIFS(Catálogo!$Z:Z,Catálogo!$A:$A,$A20)</f>
        <v/>
      </c>
      <c r="AC20" s="5">
        <f>SUMIFS(Catálogo!$H:$H,Catálogo!$A:$A,$A20)</f>
        <v/>
      </c>
      <c r="AD20" s="5">
        <f>SUMIFS(Catálogo!$Z:Z,Catálogo!$A:$A,$A20)</f>
        <v/>
      </c>
      <c r="AE20" s="5">
        <f>SUMIFS(Catálogo!$J:$J,Catálogo!$A:$A,$A20)</f>
        <v/>
      </c>
      <c r="AF20" s="5">
        <f>SUMIFS(Catálogo!$Z:Z,Catálogo!$A:$A,$A20)</f>
        <v/>
      </c>
      <c r="AG20" s="5">
        <f>SUMIFS(Catálogo!$L:$L,Catálogo!$A:$A,$A20)</f>
        <v/>
      </c>
      <c r="AH20" s="5">
        <f>SUMIFS(Catálogo!$Z:Z,Catálogo!$A:$A,$A20)</f>
        <v/>
      </c>
      <c r="AI20" s="5">
        <f>SUMIFS(Catálogo!$N:$N,Catálogo!$A:$A,$A20)</f>
        <v/>
      </c>
      <c r="AJ20" s="5">
        <f>SUMIFS(Catálogo!$Z:Z,Catálogo!$A:$A,$A20)</f>
        <v/>
      </c>
    </row>
    <row r="21">
      <c r="A21" t="inlineStr">
        <is>
          <t>WEB-08</t>
        </is>
      </c>
      <c r="B21" t="inlineStr">
        <is>
          <t>Presentacion web interactiva</t>
        </is>
      </c>
      <c r="C21" t="inlineStr">
        <is>
          <t>web-3d</t>
        </is>
      </c>
      <c r="D21" t="inlineStr">
        <is>
          <t>3-60</t>
        </is>
      </c>
      <c r="E21" s="11">
        <f>IF(SUMIFS(Catálogo!$F:$F,Catálogo!$A:$A,$A21)=0,SUMIFS(Catálogo!$H:$H,Catálogo!$A:$A,$A21),SUMIFS(Catálogo!$F:$F,Catálogo!$A:$A,$A21))</f>
        <v/>
      </c>
      <c r="F21" s="11">
        <f>IF(SUMIFS(Catálogo!$G:$G,Catálogo!$A:$A,$A21)=0,SUMIFS(Catálogo!$I:$I,Catálogo!$A:$A,$A21),SUMIFS(Catálogo!$G:$G,Catálogo!$A:$A,$A21))</f>
        <v/>
      </c>
      <c r="G21" s="5">
        <f>IF(SUMIFS(Catálogo!$F:$F,Catálogo!$A:$A,$A21)=0,MAX(FLOOR(SUMIFS(Catálogo!$T:$T,Catálogo!$A:$A,$A21),1000),400000),MAX(FLOOR(SUMIFS(Catálogo!$R:$R,Catálogo!$A:$A,$A21),1000),400000))</f>
        <v/>
      </c>
      <c r="H21" s="5">
        <f>IF(SUMIFS(Catálogo!$G:$G,Catálogo!$A:$A,$A21)=0,MAX(CEILING(SUMIFS(Catálogo!$U:$U,Catálogo!$A:$A,$A21),1000),400000),MAX(CEILING(SUMIFS(Catálogo!$S:$S,Catálogo!$A:$A,$A21),1000),400000))</f>
        <v/>
      </c>
      <c r="I21" s="11">
        <f>SUMIFS(Catálogo!$H:$H,Catálogo!$A:$A,$A21)</f>
        <v/>
      </c>
      <c r="J21" s="11">
        <f>SUMIFS(Catálogo!$I:$I,Catálogo!$A:$A,$A21)</f>
        <v/>
      </c>
      <c r="K21" s="5">
        <f>MAX(FLOOR(SUMIFS(Catálogo!$T:T,Catálogo!$A:$A,$A21),1000),400000)</f>
        <v/>
      </c>
      <c r="L21" s="5">
        <f>MAX(CEILING(SUMIFS(Catálogo!$U:U,Catálogo!$A:$A,$A21),1000),400000)</f>
        <v/>
      </c>
      <c r="M21" s="11">
        <f>SUMIFS(Catálogo!$J:$J,Catálogo!$A:$A,$A21)</f>
        <v/>
      </c>
      <c r="N21" s="11">
        <f>SUMIFS(Catálogo!$K:$K,Catálogo!$A:$A,$A21)</f>
        <v/>
      </c>
      <c r="O21" s="5">
        <f>MAX(FLOOR(SUMIFS(Catálogo!$V:V,Catálogo!$A:$A,$A21),1000),400000)</f>
        <v/>
      </c>
      <c r="P21" s="5">
        <f>MAX(CEILING(SUMIFS(Catálogo!$W:W,Catálogo!$A:$A,$A21),1000),400000)</f>
        <v/>
      </c>
      <c r="Q21" s="11">
        <f>SUMIFS(Catálogo!$L:$L,Catálogo!$A:$A,$A21)</f>
        <v/>
      </c>
      <c r="R21" s="11">
        <f>SUMIFS(Catálogo!$M:$M,Catálogo!$A:$A,$A21)</f>
        <v/>
      </c>
      <c r="S21" s="5">
        <f>MAX(FLOOR(SUMIFS(Catálogo!$X:X,Catálogo!$A:$A,$A21),1000),400000)</f>
        <v/>
      </c>
      <c r="T21" s="5">
        <f>MAX(CEILING(SUMIFS(Catálogo!$Y:Y,Catálogo!$A:$A,$A21),1000),400000)</f>
        <v/>
      </c>
      <c r="U21" s="11">
        <f>SUMIFS(Catálogo!$N:$N,Catálogo!$A:$A,$A21)</f>
        <v/>
      </c>
      <c r="V21" s="11">
        <f>SUMIFS(Catálogo!$O:$O,Catálogo!$A:$A,$A21)</f>
        <v/>
      </c>
      <c r="W21" s="5">
        <f>MAX(FLOOR(SUMIFS(Catálogo!$Z:Z,Catálogo!$A:$A,$A21),1000),400000)</f>
        <v/>
      </c>
      <c r="X21" s="5">
        <f>MAX(CEILING(SUMIFS(Catálogo!$AA:AA,Catálogo!$A:$A,$A21),1000),400000)</f>
        <v/>
      </c>
      <c r="Y21" s="12">
        <f>K21</f>
        <v/>
      </c>
      <c r="AA21" s="5">
        <f>SUMIFS(Catálogo!$F:$F,Catálogo!$A:$A,$A21)</f>
        <v/>
      </c>
      <c r="AB21" s="5">
        <f>SUMIFS(Catálogo!$Z:Z,Catálogo!$A:$A,$A21)</f>
        <v/>
      </c>
      <c r="AC21" s="5">
        <f>SUMIFS(Catálogo!$H:$H,Catálogo!$A:$A,$A21)</f>
        <v/>
      </c>
      <c r="AD21" s="5">
        <f>SUMIFS(Catálogo!$Z:Z,Catálogo!$A:$A,$A21)</f>
        <v/>
      </c>
      <c r="AE21" s="5">
        <f>SUMIFS(Catálogo!$J:$J,Catálogo!$A:$A,$A21)</f>
        <v/>
      </c>
      <c r="AF21" s="5">
        <f>SUMIFS(Catálogo!$Z:Z,Catálogo!$A:$A,$A21)</f>
        <v/>
      </c>
      <c r="AG21" s="5">
        <f>SUMIFS(Catálogo!$L:$L,Catálogo!$A:$A,$A21)</f>
        <v/>
      </c>
      <c r="AH21" s="5">
        <f>SUMIFS(Catálogo!$Z:Z,Catálogo!$A:$A,$A21)</f>
        <v/>
      </c>
      <c r="AI21" s="5">
        <f>SUMIFS(Catálogo!$N:$N,Catálogo!$A:$A,$A21)</f>
        <v/>
      </c>
      <c r="AJ21" s="5">
        <f>SUMIFS(Catálogo!$Z:Z,Catálogo!$A:$A,$A21)</f>
        <v/>
      </c>
    </row>
    <row r="22">
      <c r="A22" t="inlineStr">
        <is>
          <t>AI-02</t>
        </is>
      </c>
      <c r="B22" t="inlineStr">
        <is>
          <t>IA indirecta en producto web</t>
        </is>
      </c>
      <c r="C22" t="inlineStr">
        <is>
          <t>ia</t>
        </is>
      </c>
      <c r="D22" t="inlineStr">
        <is>
          <t>5-140</t>
        </is>
      </c>
      <c r="E22" s="11">
        <f>IF(SUMIFS(Catálogo!$F:$F,Catálogo!$A:$A,$A22)=0,SUMIFS(Catálogo!$H:$H,Catálogo!$A:$A,$A22),SUMIFS(Catálogo!$F:$F,Catálogo!$A:$A,$A22))</f>
        <v/>
      </c>
      <c r="F22" s="11">
        <f>IF(SUMIFS(Catálogo!$G:$G,Catálogo!$A:$A,$A22)=0,SUMIFS(Catálogo!$I:$I,Catálogo!$A:$A,$A22),SUMIFS(Catálogo!$G:$G,Catálogo!$A:$A,$A22))</f>
        <v/>
      </c>
      <c r="G22" s="5">
        <f>IF(SUMIFS(Catálogo!$F:$F,Catálogo!$A:$A,$A22)=0,MAX(FLOOR(SUMIFS(Catálogo!$T:$T,Catálogo!$A:$A,$A22),1000),400000),MAX(FLOOR(SUMIFS(Catálogo!$R:$R,Catálogo!$A:$A,$A22),1000),400000))</f>
        <v/>
      </c>
      <c r="H22" s="5">
        <f>IF(SUMIFS(Catálogo!$G:$G,Catálogo!$A:$A,$A22)=0,MAX(CEILING(SUMIFS(Catálogo!$U:$U,Catálogo!$A:$A,$A22),1000),400000),MAX(CEILING(SUMIFS(Catálogo!$S:$S,Catálogo!$A:$A,$A22),1000),400000))</f>
        <v/>
      </c>
      <c r="I22" s="11">
        <f>SUMIFS(Catálogo!$H:$H,Catálogo!$A:$A,$A22)</f>
        <v/>
      </c>
      <c r="J22" s="11">
        <f>SUMIFS(Catálogo!$I:$I,Catálogo!$A:$A,$A22)</f>
        <v/>
      </c>
      <c r="K22" s="5">
        <f>MAX(FLOOR(SUMIFS(Catálogo!$T:T,Catálogo!$A:$A,$A22),1000),400000)</f>
        <v/>
      </c>
      <c r="L22" s="5">
        <f>MAX(CEILING(SUMIFS(Catálogo!$U:U,Catálogo!$A:$A,$A22),1000),400000)</f>
        <v/>
      </c>
      <c r="M22" s="11">
        <f>SUMIFS(Catálogo!$J:$J,Catálogo!$A:$A,$A22)</f>
        <v/>
      </c>
      <c r="N22" s="11">
        <f>SUMIFS(Catálogo!$K:$K,Catálogo!$A:$A,$A22)</f>
        <v/>
      </c>
      <c r="O22" s="5">
        <f>MAX(FLOOR(SUMIFS(Catálogo!$V:V,Catálogo!$A:$A,$A22),1000),400000)</f>
        <v/>
      </c>
      <c r="P22" s="5">
        <f>MAX(CEILING(SUMIFS(Catálogo!$W:W,Catálogo!$A:$A,$A22),1000),400000)</f>
        <v/>
      </c>
      <c r="Q22" s="11">
        <f>SUMIFS(Catálogo!$L:$L,Catálogo!$A:$A,$A22)</f>
        <v/>
      </c>
      <c r="R22" s="11">
        <f>SUMIFS(Catálogo!$M:$M,Catálogo!$A:$A,$A22)</f>
        <v/>
      </c>
      <c r="S22" s="5">
        <f>MAX(FLOOR(SUMIFS(Catálogo!$X:X,Catálogo!$A:$A,$A22),1000),400000)</f>
        <v/>
      </c>
      <c r="T22" s="5">
        <f>MAX(CEILING(SUMIFS(Catálogo!$Y:Y,Catálogo!$A:$A,$A22),1000),400000)</f>
        <v/>
      </c>
      <c r="U22" s="11">
        <f>SUMIFS(Catálogo!$N:$N,Catálogo!$A:$A,$A22)</f>
        <v/>
      </c>
      <c r="V22" s="11">
        <f>SUMIFS(Catálogo!$O:$O,Catálogo!$A:$A,$A22)</f>
        <v/>
      </c>
      <c r="W22" s="5">
        <f>MAX(FLOOR(SUMIFS(Catálogo!$Z:Z,Catálogo!$A:$A,$A22),1000),400000)</f>
        <v/>
      </c>
      <c r="X22" s="5">
        <f>MAX(CEILING(SUMIFS(Catálogo!$AA:AA,Catálogo!$A:$A,$A22),1000),400000)</f>
        <v/>
      </c>
      <c r="Y22" s="12">
        <f>K22</f>
        <v/>
      </c>
      <c r="AA22" s="5">
        <f>SUMIFS(Catálogo!$F:$F,Catálogo!$A:$A,$A22)</f>
        <v/>
      </c>
      <c r="AB22" s="5">
        <f>SUMIFS(Catálogo!$Z:Z,Catálogo!$A:$A,$A22)</f>
        <v/>
      </c>
      <c r="AC22" s="5">
        <f>SUMIFS(Catálogo!$H:$H,Catálogo!$A:$A,$A22)</f>
        <v/>
      </c>
      <c r="AD22" s="5">
        <f>SUMIFS(Catálogo!$Z:Z,Catálogo!$A:$A,$A22)</f>
        <v/>
      </c>
      <c r="AE22" s="5">
        <f>SUMIFS(Catálogo!$J:$J,Catálogo!$A:$A,$A22)</f>
        <v/>
      </c>
      <c r="AF22" s="5">
        <f>SUMIFS(Catálogo!$Z:Z,Catálogo!$A:$A,$A22)</f>
        <v/>
      </c>
      <c r="AG22" s="5">
        <f>SUMIFS(Catálogo!$L:$L,Catálogo!$A:$A,$A22)</f>
        <v/>
      </c>
      <c r="AH22" s="5">
        <f>SUMIFS(Catálogo!$Z:Z,Catálogo!$A:$A,$A22)</f>
        <v/>
      </c>
      <c r="AI22" s="5">
        <f>SUMIFS(Catálogo!$N:$N,Catálogo!$A:$A,$A22)</f>
        <v/>
      </c>
      <c r="AJ22" s="5">
        <f>SUMIFS(Catálogo!$Z:Z,Catálogo!$A:$A,$A22)</f>
        <v/>
      </c>
    </row>
    <row r="23">
      <c r="A23" t="inlineStr">
        <is>
          <t>AI-03</t>
        </is>
      </c>
      <c r="B23" t="inlineStr">
        <is>
          <t>Automatizacion interna con LLM</t>
        </is>
      </c>
      <c r="C23" t="inlineStr">
        <is>
          <t>ia</t>
        </is>
      </c>
      <c r="D23" t="inlineStr">
        <is>
          <t>10-170</t>
        </is>
      </c>
      <c r="E23" s="11">
        <f>IF(SUMIFS(Catálogo!$F:$F,Catálogo!$A:$A,$A23)=0,SUMIFS(Catálogo!$H:$H,Catálogo!$A:$A,$A23),SUMIFS(Catálogo!$F:$F,Catálogo!$A:$A,$A23))</f>
        <v/>
      </c>
      <c r="F23" s="11">
        <f>IF(SUMIFS(Catálogo!$G:$G,Catálogo!$A:$A,$A23)=0,SUMIFS(Catálogo!$I:$I,Catálogo!$A:$A,$A23),SUMIFS(Catálogo!$G:$G,Catálogo!$A:$A,$A23))</f>
        <v/>
      </c>
      <c r="G23" s="5">
        <f>IF(SUMIFS(Catálogo!$F:$F,Catálogo!$A:$A,$A23)=0,MAX(FLOOR(SUMIFS(Catálogo!$T:$T,Catálogo!$A:$A,$A23),1000),400000),MAX(FLOOR(SUMIFS(Catálogo!$R:$R,Catálogo!$A:$A,$A23),1000),400000))</f>
        <v/>
      </c>
      <c r="H23" s="5">
        <f>IF(SUMIFS(Catálogo!$G:$G,Catálogo!$A:$A,$A23)=0,MAX(CEILING(SUMIFS(Catálogo!$U:$U,Catálogo!$A:$A,$A23),1000),400000),MAX(CEILING(SUMIFS(Catálogo!$S:$S,Catálogo!$A:$A,$A23),1000),400000))</f>
        <v/>
      </c>
      <c r="I23" s="11">
        <f>SUMIFS(Catálogo!$H:$H,Catálogo!$A:$A,$A23)</f>
        <v/>
      </c>
      <c r="J23" s="11">
        <f>SUMIFS(Catálogo!$I:$I,Catálogo!$A:$A,$A23)</f>
        <v/>
      </c>
      <c r="K23" s="5">
        <f>MAX(FLOOR(SUMIFS(Catálogo!$T:T,Catálogo!$A:$A,$A23),1000),400000)</f>
        <v/>
      </c>
      <c r="L23" s="5">
        <f>MAX(CEILING(SUMIFS(Catálogo!$U:U,Catálogo!$A:$A,$A23),1000),400000)</f>
        <v/>
      </c>
      <c r="M23" s="11">
        <f>SUMIFS(Catálogo!$J:$J,Catálogo!$A:$A,$A23)</f>
        <v/>
      </c>
      <c r="N23" s="11">
        <f>SUMIFS(Catálogo!$K:$K,Catálogo!$A:$A,$A23)</f>
        <v/>
      </c>
      <c r="O23" s="5">
        <f>MAX(FLOOR(SUMIFS(Catálogo!$V:V,Catálogo!$A:$A,$A23),1000),400000)</f>
        <v/>
      </c>
      <c r="P23" s="5">
        <f>MAX(CEILING(SUMIFS(Catálogo!$W:W,Catálogo!$A:$A,$A23),1000),400000)</f>
        <v/>
      </c>
      <c r="Q23" s="11">
        <f>SUMIFS(Catálogo!$L:$L,Catálogo!$A:$A,$A23)</f>
        <v/>
      </c>
      <c r="R23" s="11">
        <f>SUMIFS(Catálogo!$M:$M,Catálogo!$A:$A,$A23)</f>
        <v/>
      </c>
      <c r="S23" s="5">
        <f>MAX(FLOOR(SUMIFS(Catálogo!$X:X,Catálogo!$A:$A,$A23),1000),400000)</f>
        <v/>
      </c>
      <c r="T23" s="5">
        <f>MAX(CEILING(SUMIFS(Catálogo!$Y:Y,Catálogo!$A:$A,$A23),1000),400000)</f>
        <v/>
      </c>
      <c r="U23" s="11">
        <f>SUMIFS(Catálogo!$N:$N,Catálogo!$A:$A,$A23)</f>
        <v/>
      </c>
      <c r="V23" s="11">
        <f>SUMIFS(Catálogo!$O:$O,Catálogo!$A:$A,$A23)</f>
        <v/>
      </c>
      <c r="W23" s="5">
        <f>MAX(FLOOR(SUMIFS(Catálogo!$Z:Z,Catálogo!$A:$A,$A23),1000),400000)</f>
        <v/>
      </c>
      <c r="X23" s="5">
        <f>MAX(CEILING(SUMIFS(Catálogo!$AA:AA,Catálogo!$A:$A,$A23),1000),400000)</f>
        <v/>
      </c>
      <c r="Y23" s="12">
        <f>K23</f>
        <v/>
      </c>
      <c r="AA23" s="5">
        <f>SUMIFS(Catálogo!$F:$F,Catálogo!$A:$A,$A23)</f>
        <v/>
      </c>
      <c r="AB23" s="5">
        <f>SUMIFS(Catálogo!$Z:Z,Catálogo!$A:$A,$A23)</f>
        <v/>
      </c>
      <c r="AC23" s="5">
        <f>SUMIFS(Catálogo!$H:$H,Catálogo!$A:$A,$A23)</f>
        <v/>
      </c>
      <c r="AD23" s="5">
        <f>SUMIFS(Catálogo!$Z:Z,Catálogo!$A:$A,$A23)</f>
        <v/>
      </c>
      <c r="AE23" s="5">
        <f>SUMIFS(Catálogo!$J:$J,Catálogo!$A:$A,$A23)</f>
        <v/>
      </c>
      <c r="AF23" s="5">
        <f>SUMIFS(Catálogo!$Z:Z,Catálogo!$A:$A,$A23)</f>
        <v/>
      </c>
      <c r="AG23" s="5">
        <f>SUMIFS(Catálogo!$L:$L,Catálogo!$A:$A,$A23)</f>
        <v/>
      </c>
      <c r="AH23" s="5">
        <f>SUMIFS(Catálogo!$Z:Z,Catálogo!$A:$A,$A23)</f>
        <v/>
      </c>
      <c r="AI23" s="5">
        <f>SUMIFS(Catálogo!$N:$N,Catálogo!$A:$A,$A23)</f>
        <v/>
      </c>
      <c r="AJ23" s="5">
        <f>SUMIFS(Catálogo!$Z:Z,Catálogo!$A:$A,$A23)</f>
        <v/>
      </c>
    </row>
    <row r="24">
      <c r="A24" t="inlineStr">
        <is>
          <t>AI-04</t>
        </is>
      </c>
      <c r="B24" t="inlineStr">
        <is>
          <t>Consultoria y auditoria de IA</t>
        </is>
      </c>
      <c r="C24" t="inlineStr">
        <is>
          <t>ia</t>
        </is>
      </c>
      <c r="D24" t="inlineStr">
        <is>
          <t>5-40</t>
        </is>
      </c>
      <c r="E24" s="11">
        <f>IF(SUMIFS(Catálogo!$F:$F,Catálogo!$A:$A,$A24)=0,SUMIFS(Catálogo!$H:$H,Catálogo!$A:$A,$A24),SUMIFS(Catálogo!$F:$F,Catálogo!$A:$A,$A24))</f>
        <v/>
      </c>
      <c r="F24" s="11">
        <f>IF(SUMIFS(Catálogo!$G:$G,Catálogo!$A:$A,$A24)=0,SUMIFS(Catálogo!$I:$I,Catálogo!$A:$A,$A24),SUMIFS(Catálogo!$G:$G,Catálogo!$A:$A,$A24))</f>
        <v/>
      </c>
      <c r="G24" s="5">
        <f>IF(SUMIFS(Catálogo!$F:$F,Catálogo!$A:$A,$A24)=0,MAX(FLOOR(SUMIFS(Catálogo!$T:$T,Catálogo!$A:$A,$A24),1000),400000),MAX(FLOOR(SUMIFS(Catálogo!$R:$R,Catálogo!$A:$A,$A24),1000),400000))</f>
        <v/>
      </c>
      <c r="H24" s="5">
        <f>IF(SUMIFS(Catálogo!$G:$G,Catálogo!$A:$A,$A24)=0,MAX(CEILING(SUMIFS(Catálogo!$U:$U,Catálogo!$A:$A,$A24),1000),400000),MAX(CEILING(SUMIFS(Catálogo!$S:$S,Catálogo!$A:$A,$A24),1000),400000))</f>
        <v/>
      </c>
      <c r="I24" s="11">
        <f>SUMIFS(Catálogo!$H:$H,Catálogo!$A:$A,$A24)</f>
        <v/>
      </c>
      <c r="J24" s="11">
        <f>SUMIFS(Catálogo!$I:$I,Catálogo!$A:$A,$A24)</f>
        <v/>
      </c>
      <c r="K24" s="5">
        <f>MAX(FLOOR(SUMIFS(Catálogo!$T:T,Catálogo!$A:$A,$A24),1000),400000)</f>
        <v/>
      </c>
      <c r="L24" s="5">
        <f>MAX(CEILING(SUMIFS(Catálogo!$U:U,Catálogo!$A:$A,$A24),1000),400000)</f>
        <v/>
      </c>
      <c r="M24" s="11">
        <f>SUMIFS(Catálogo!$J:$J,Catálogo!$A:$A,$A24)</f>
        <v/>
      </c>
      <c r="N24" s="11">
        <f>SUMIFS(Catálogo!$K:$K,Catálogo!$A:$A,$A24)</f>
        <v/>
      </c>
      <c r="O24" s="5">
        <f>MAX(FLOOR(SUMIFS(Catálogo!$V:V,Catálogo!$A:$A,$A24),1000),400000)</f>
        <v/>
      </c>
      <c r="P24" s="5">
        <f>MAX(CEILING(SUMIFS(Catálogo!$W:W,Catálogo!$A:$A,$A24),1000),400000)</f>
        <v/>
      </c>
      <c r="Q24" s="11">
        <f>SUMIFS(Catálogo!$L:$L,Catálogo!$A:$A,$A24)</f>
        <v/>
      </c>
      <c r="R24" s="11">
        <f>SUMIFS(Catálogo!$M:$M,Catálogo!$A:$A,$A24)</f>
        <v/>
      </c>
      <c r="S24" s="5">
        <f>MAX(FLOOR(SUMIFS(Catálogo!$X:X,Catálogo!$A:$A,$A24),1000),400000)</f>
        <v/>
      </c>
      <c r="T24" s="5">
        <f>MAX(CEILING(SUMIFS(Catálogo!$Y:Y,Catálogo!$A:$A,$A24),1000),400000)</f>
        <v/>
      </c>
      <c r="U24" s="11">
        <f>SUMIFS(Catálogo!$N:$N,Catálogo!$A:$A,$A24)</f>
        <v/>
      </c>
      <c r="V24" s="11">
        <f>SUMIFS(Catálogo!$O:$O,Catálogo!$A:$A,$A24)</f>
        <v/>
      </c>
      <c r="W24" s="5">
        <f>MAX(FLOOR(SUMIFS(Catálogo!$Z:Z,Catálogo!$A:$A,$A24),1000),400000)</f>
        <v/>
      </c>
      <c r="X24" s="5">
        <f>MAX(CEILING(SUMIFS(Catálogo!$AA:AA,Catálogo!$A:$A,$A24),1000),400000)</f>
        <v/>
      </c>
      <c r="Y24" s="12">
        <f>K24</f>
        <v/>
      </c>
      <c r="AA24" s="5">
        <f>SUMIFS(Catálogo!$F:$F,Catálogo!$A:$A,$A24)</f>
        <v/>
      </c>
      <c r="AB24" s="5">
        <f>SUMIFS(Catálogo!$Z:Z,Catálogo!$A:$A,$A24)</f>
        <v/>
      </c>
      <c r="AC24" s="5">
        <f>SUMIFS(Catálogo!$H:$H,Catálogo!$A:$A,$A24)</f>
        <v/>
      </c>
      <c r="AD24" s="5">
        <f>SUMIFS(Catálogo!$Z:Z,Catálogo!$A:$A,$A24)</f>
        <v/>
      </c>
      <c r="AE24" s="5">
        <f>SUMIFS(Catálogo!$J:$J,Catálogo!$A:$A,$A24)</f>
        <v/>
      </c>
      <c r="AF24" s="5">
        <f>SUMIFS(Catálogo!$Z:Z,Catálogo!$A:$A,$A24)</f>
        <v/>
      </c>
      <c r="AG24" s="5">
        <f>SUMIFS(Catálogo!$L:$L,Catálogo!$A:$A,$A24)</f>
        <v/>
      </c>
      <c r="AH24" s="5">
        <f>SUMIFS(Catálogo!$Z:Z,Catálogo!$A:$A,$A24)</f>
        <v/>
      </c>
      <c r="AI24" s="5">
        <f>SUMIFS(Catálogo!$N:$N,Catálogo!$A:$A,$A24)</f>
        <v/>
      </c>
      <c r="AJ24" s="5">
        <f>SUMIFS(Catálogo!$Z:Z,Catálogo!$A:$A,$A24)</f>
        <v/>
      </c>
    </row>
    <row r="25">
      <c r="A25" t="inlineStr">
        <is>
          <t>VFX-01</t>
        </is>
      </c>
      <c r="B25" t="inlineStr">
        <is>
          <t>Modelo 3D integrado en foto/video real</t>
        </is>
      </c>
      <c r="C25" t="inlineStr">
        <is>
          <t>vfx</t>
        </is>
      </c>
      <c r="D25" t="inlineStr">
        <is>
          <t>2-53</t>
        </is>
      </c>
      <c r="E25" s="11">
        <f>IF(SUMIFS(Catálogo!$F:$F,Catálogo!$A:$A,$A25)=0,SUMIFS(Catálogo!$H:$H,Catálogo!$A:$A,$A25),SUMIFS(Catálogo!$F:$F,Catálogo!$A:$A,$A25))</f>
        <v/>
      </c>
      <c r="F25" s="11">
        <f>IF(SUMIFS(Catálogo!$G:$G,Catálogo!$A:$A,$A25)=0,SUMIFS(Catálogo!$I:$I,Catálogo!$A:$A,$A25),SUMIFS(Catálogo!$G:$G,Catálogo!$A:$A,$A25))</f>
        <v/>
      </c>
      <c r="G25" s="5">
        <f>IF(SUMIFS(Catálogo!$F:$F,Catálogo!$A:$A,$A25)=0,MAX(FLOOR(SUMIFS(Catálogo!$T:$T,Catálogo!$A:$A,$A25),1000),400000),MAX(FLOOR(SUMIFS(Catálogo!$R:$R,Catálogo!$A:$A,$A25),1000),400000))</f>
        <v/>
      </c>
      <c r="H25" s="5">
        <f>IF(SUMIFS(Catálogo!$G:$G,Catálogo!$A:$A,$A25)=0,MAX(CEILING(SUMIFS(Catálogo!$U:$U,Catálogo!$A:$A,$A25),1000),400000),MAX(CEILING(SUMIFS(Catálogo!$S:$S,Catálogo!$A:$A,$A25),1000),400000))</f>
        <v/>
      </c>
      <c r="I25" s="11">
        <f>SUMIFS(Catálogo!$H:$H,Catálogo!$A:$A,$A25)</f>
        <v/>
      </c>
      <c r="J25" s="11">
        <f>SUMIFS(Catálogo!$I:$I,Catálogo!$A:$A,$A25)</f>
        <v/>
      </c>
      <c r="K25" s="5">
        <f>MAX(FLOOR(SUMIFS(Catálogo!$T:T,Catálogo!$A:$A,$A25),1000),400000)</f>
        <v/>
      </c>
      <c r="L25" s="5">
        <f>MAX(CEILING(SUMIFS(Catálogo!$U:U,Catálogo!$A:$A,$A25),1000),400000)</f>
        <v/>
      </c>
      <c r="M25" s="11">
        <f>SUMIFS(Catálogo!$J:$J,Catálogo!$A:$A,$A25)</f>
        <v/>
      </c>
      <c r="N25" s="11">
        <f>SUMIFS(Catálogo!$K:$K,Catálogo!$A:$A,$A25)</f>
        <v/>
      </c>
      <c r="O25" s="5">
        <f>MAX(FLOOR(SUMIFS(Catálogo!$V:V,Catálogo!$A:$A,$A25),1000),400000)</f>
        <v/>
      </c>
      <c r="P25" s="5">
        <f>MAX(CEILING(SUMIFS(Catálogo!$W:W,Catálogo!$A:$A,$A25),1000),400000)</f>
        <v/>
      </c>
      <c r="Q25" s="11">
        <f>SUMIFS(Catálogo!$L:$L,Catálogo!$A:$A,$A25)</f>
        <v/>
      </c>
      <c r="R25" s="11">
        <f>SUMIFS(Catálogo!$M:$M,Catálogo!$A:$A,$A25)</f>
        <v/>
      </c>
      <c r="S25" s="5">
        <f>MAX(FLOOR(SUMIFS(Catálogo!$X:X,Catálogo!$A:$A,$A25),1000),400000)</f>
        <v/>
      </c>
      <c r="T25" s="5">
        <f>MAX(CEILING(SUMIFS(Catálogo!$Y:Y,Catálogo!$A:$A,$A25),1000),400000)</f>
        <v/>
      </c>
      <c r="U25" s="11">
        <f>SUMIFS(Catálogo!$N:$N,Catálogo!$A:$A,$A25)</f>
        <v/>
      </c>
      <c r="V25" s="11">
        <f>SUMIFS(Catálogo!$O:$O,Catálogo!$A:$A,$A25)</f>
        <v/>
      </c>
      <c r="W25" s="5">
        <f>MAX(FLOOR(SUMIFS(Catálogo!$Z:Z,Catálogo!$A:$A,$A25),1000),400000)</f>
        <v/>
      </c>
      <c r="X25" s="5">
        <f>MAX(CEILING(SUMIFS(Catálogo!$AA:AA,Catálogo!$A:$A,$A25),1000),400000)</f>
        <v/>
      </c>
      <c r="Y25" s="12">
        <f>K25</f>
        <v/>
      </c>
      <c r="AA25" s="5">
        <f>SUMIFS(Catálogo!$F:$F,Catálogo!$A:$A,$A25)</f>
        <v/>
      </c>
      <c r="AB25" s="5">
        <f>SUMIFS(Catálogo!$Z:Z,Catálogo!$A:$A,$A25)</f>
        <v/>
      </c>
      <c r="AC25" s="5">
        <f>SUMIFS(Catálogo!$H:$H,Catálogo!$A:$A,$A25)</f>
        <v/>
      </c>
      <c r="AD25" s="5">
        <f>SUMIFS(Catálogo!$Z:Z,Catálogo!$A:$A,$A25)</f>
        <v/>
      </c>
      <c r="AE25" s="5">
        <f>SUMIFS(Catálogo!$J:$J,Catálogo!$A:$A,$A25)</f>
        <v/>
      </c>
      <c r="AF25" s="5">
        <f>SUMIFS(Catálogo!$Z:Z,Catálogo!$A:$A,$A25)</f>
        <v/>
      </c>
      <c r="AG25" s="5">
        <f>SUMIFS(Catálogo!$L:$L,Catálogo!$A:$A,$A25)</f>
        <v/>
      </c>
      <c r="AH25" s="5">
        <f>SUMIFS(Catálogo!$Z:Z,Catálogo!$A:$A,$A25)</f>
        <v/>
      </c>
      <c r="AI25" s="5">
        <f>SUMIFS(Catálogo!$N:$N,Catálogo!$A:$A,$A25)</f>
        <v/>
      </c>
      <c r="AJ25" s="5">
        <f>SUMIFS(Catálogo!$Z:Z,Catálogo!$A:$A,$A25)</f>
        <v/>
      </c>
    </row>
    <row r="26">
      <c r="A26" t="inlineStr">
        <is>
          <t>VFX-02</t>
        </is>
      </c>
      <c r="B26" t="inlineStr">
        <is>
          <t>FX puro (simulaciones video)</t>
        </is>
      </c>
      <c r="C26" t="inlineStr">
        <is>
          <t>vfx</t>
        </is>
      </c>
      <c r="D26" t="inlineStr">
        <is>
          <t>1-90</t>
        </is>
      </c>
      <c r="E26" s="11">
        <f>IF(SUMIFS(Catálogo!$F:$F,Catálogo!$A:$A,$A26)=0,SUMIFS(Catálogo!$H:$H,Catálogo!$A:$A,$A26),SUMIFS(Catálogo!$F:$F,Catálogo!$A:$A,$A26))</f>
        <v/>
      </c>
      <c r="F26" s="11">
        <f>IF(SUMIFS(Catálogo!$G:$G,Catálogo!$A:$A,$A26)=0,SUMIFS(Catálogo!$I:$I,Catálogo!$A:$A,$A26),SUMIFS(Catálogo!$G:$G,Catálogo!$A:$A,$A26))</f>
        <v/>
      </c>
      <c r="G26" s="5">
        <f>IF(SUMIFS(Catálogo!$F:$F,Catálogo!$A:$A,$A26)=0,MAX(FLOOR(SUMIFS(Catálogo!$T:$T,Catálogo!$A:$A,$A26),1000),400000),MAX(FLOOR(SUMIFS(Catálogo!$R:$R,Catálogo!$A:$A,$A26),1000),400000))</f>
        <v/>
      </c>
      <c r="H26" s="5">
        <f>IF(SUMIFS(Catálogo!$G:$G,Catálogo!$A:$A,$A26)=0,MAX(CEILING(SUMIFS(Catálogo!$U:$U,Catálogo!$A:$A,$A26),1000),400000),MAX(CEILING(SUMIFS(Catálogo!$S:$S,Catálogo!$A:$A,$A26),1000),400000))</f>
        <v/>
      </c>
      <c r="I26" s="11">
        <f>SUMIFS(Catálogo!$H:$H,Catálogo!$A:$A,$A26)</f>
        <v/>
      </c>
      <c r="J26" s="11">
        <f>SUMIFS(Catálogo!$I:$I,Catálogo!$A:$A,$A26)</f>
        <v/>
      </c>
      <c r="K26" s="5">
        <f>MAX(FLOOR(SUMIFS(Catálogo!$T:T,Catálogo!$A:$A,$A26),1000),400000)</f>
        <v/>
      </c>
      <c r="L26" s="5">
        <f>MAX(CEILING(SUMIFS(Catálogo!$U:U,Catálogo!$A:$A,$A26),1000),400000)</f>
        <v/>
      </c>
      <c r="M26" s="11">
        <f>SUMIFS(Catálogo!$J:$J,Catálogo!$A:$A,$A26)</f>
        <v/>
      </c>
      <c r="N26" s="11">
        <f>SUMIFS(Catálogo!$K:$K,Catálogo!$A:$A,$A26)</f>
        <v/>
      </c>
      <c r="O26" s="5">
        <f>MAX(FLOOR(SUMIFS(Catálogo!$V:V,Catálogo!$A:$A,$A26),1000),400000)</f>
        <v/>
      </c>
      <c r="P26" s="5">
        <f>MAX(CEILING(SUMIFS(Catálogo!$W:W,Catálogo!$A:$A,$A26),1000),400000)</f>
        <v/>
      </c>
      <c r="Q26" s="11">
        <f>SUMIFS(Catálogo!$L:$L,Catálogo!$A:$A,$A26)</f>
        <v/>
      </c>
      <c r="R26" s="11">
        <f>SUMIFS(Catálogo!$M:$M,Catálogo!$A:$A,$A26)</f>
        <v/>
      </c>
      <c r="S26" s="5">
        <f>MAX(FLOOR(SUMIFS(Catálogo!$X:X,Catálogo!$A:$A,$A26),1000),400000)</f>
        <v/>
      </c>
      <c r="T26" s="5">
        <f>MAX(CEILING(SUMIFS(Catálogo!$Y:Y,Catálogo!$A:$A,$A26),1000),400000)</f>
        <v/>
      </c>
      <c r="U26" s="11">
        <f>SUMIFS(Catálogo!$N:$N,Catálogo!$A:$A,$A26)</f>
        <v/>
      </c>
      <c r="V26" s="11">
        <f>SUMIFS(Catálogo!$O:$O,Catálogo!$A:$A,$A26)</f>
        <v/>
      </c>
      <c r="W26" s="5">
        <f>MAX(FLOOR(SUMIFS(Catálogo!$Z:Z,Catálogo!$A:$A,$A26),1000),400000)</f>
        <v/>
      </c>
      <c r="X26" s="5">
        <f>MAX(CEILING(SUMIFS(Catálogo!$AA:AA,Catálogo!$A:$A,$A26),1000),400000)</f>
        <v/>
      </c>
      <c r="Y26" s="12">
        <f>K26</f>
        <v/>
      </c>
      <c r="AA26" s="5">
        <f>SUMIFS(Catálogo!$F:$F,Catálogo!$A:$A,$A26)</f>
        <v/>
      </c>
      <c r="AB26" s="5">
        <f>SUMIFS(Catálogo!$Z:Z,Catálogo!$A:$A,$A26)</f>
        <v/>
      </c>
      <c r="AC26" s="5">
        <f>SUMIFS(Catálogo!$H:$H,Catálogo!$A:$A,$A26)</f>
        <v/>
      </c>
      <c r="AD26" s="5">
        <f>SUMIFS(Catálogo!$Z:Z,Catálogo!$A:$A,$A26)</f>
        <v/>
      </c>
      <c r="AE26" s="5">
        <f>SUMIFS(Catálogo!$J:$J,Catálogo!$A:$A,$A26)</f>
        <v/>
      </c>
      <c r="AF26" s="5">
        <f>SUMIFS(Catálogo!$Z:Z,Catálogo!$A:$A,$A26)</f>
        <v/>
      </c>
      <c r="AG26" s="5">
        <f>SUMIFS(Catálogo!$L:$L,Catálogo!$A:$A,$A26)</f>
        <v/>
      </c>
      <c r="AH26" s="5">
        <f>SUMIFS(Catálogo!$Z:Z,Catálogo!$A:$A,$A26)</f>
        <v/>
      </c>
      <c r="AI26" s="5">
        <f>SUMIFS(Catálogo!$N:$N,Catálogo!$A:$A,$A26)</f>
        <v/>
      </c>
      <c r="AJ26" s="5">
        <f>SUMIFS(Catálogo!$Z:Z,Catálogo!$A:$A,$A26)</f>
        <v/>
      </c>
    </row>
    <row r="27">
      <c r="A27" t="inlineStr">
        <is>
          <t>VFX-03</t>
        </is>
      </c>
      <c r="B27" t="inlineStr">
        <is>
          <t>Motion graphics 3D</t>
        </is>
      </c>
      <c r="C27" t="inlineStr">
        <is>
          <t>vfx</t>
        </is>
      </c>
      <c r="D27" t="inlineStr">
        <is>
          <t>2-40</t>
        </is>
      </c>
      <c r="E27" s="11">
        <f>IF(SUMIFS(Catálogo!$F:$F,Catálogo!$A:$A,$A27)=0,SUMIFS(Catálogo!$H:$H,Catálogo!$A:$A,$A27),SUMIFS(Catálogo!$F:$F,Catálogo!$A:$A,$A27))</f>
        <v/>
      </c>
      <c r="F27" s="11">
        <f>IF(SUMIFS(Catálogo!$G:$G,Catálogo!$A:$A,$A27)=0,SUMIFS(Catálogo!$I:$I,Catálogo!$A:$A,$A27),SUMIFS(Catálogo!$G:$G,Catálogo!$A:$A,$A27))</f>
        <v/>
      </c>
      <c r="G27" s="5">
        <f>IF(SUMIFS(Catálogo!$F:$F,Catálogo!$A:$A,$A27)=0,MAX(FLOOR(SUMIFS(Catálogo!$T:$T,Catálogo!$A:$A,$A27),1000),400000),MAX(FLOOR(SUMIFS(Catálogo!$R:$R,Catálogo!$A:$A,$A27),1000),400000))</f>
        <v/>
      </c>
      <c r="H27" s="5">
        <f>IF(SUMIFS(Catálogo!$G:$G,Catálogo!$A:$A,$A27)=0,MAX(CEILING(SUMIFS(Catálogo!$U:$U,Catálogo!$A:$A,$A27),1000),400000),MAX(CEILING(SUMIFS(Catálogo!$S:$S,Catálogo!$A:$A,$A27),1000),400000))</f>
        <v/>
      </c>
      <c r="I27" s="11">
        <f>SUMIFS(Catálogo!$H:$H,Catálogo!$A:$A,$A27)</f>
        <v/>
      </c>
      <c r="J27" s="11">
        <f>SUMIFS(Catálogo!$I:$I,Catálogo!$A:$A,$A27)</f>
        <v/>
      </c>
      <c r="K27" s="5">
        <f>MAX(FLOOR(SUMIFS(Catálogo!$T:T,Catálogo!$A:$A,$A27),1000),400000)</f>
        <v/>
      </c>
      <c r="L27" s="5">
        <f>MAX(CEILING(SUMIFS(Catálogo!$U:U,Catálogo!$A:$A,$A27),1000),400000)</f>
        <v/>
      </c>
      <c r="M27" s="11">
        <f>SUMIFS(Catálogo!$J:$J,Catálogo!$A:$A,$A27)</f>
        <v/>
      </c>
      <c r="N27" s="11">
        <f>SUMIFS(Catálogo!$K:$K,Catálogo!$A:$A,$A27)</f>
        <v/>
      </c>
      <c r="O27" s="5">
        <f>MAX(FLOOR(SUMIFS(Catálogo!$V:V,Catálogo!$A:$A,$A27),1000),400000)</f>
        <v/>
      </c>
      <c r="P27" s="5">
        <f>MAX(CEILING(SUMIFS(Catálogo!$W:W,Catálogo!$A:$A,$A27),1000),400000)</f>
        <v/>
      </c>
      <c r="Q27" s="11">
        <f>SUMIFS(Catálogo!$L:$L,Catálogo!$A:$A,$A27)</f>
        <v/>
      </c>
      <c r="R27" s="11">
        <f>SUMIFS(Catálogo!$M:$M,Catálogo!$A:$A,$A27)</f>
        <v/>
      </c>
      <c r="S27" s="5">
        <f>MAX(FLOOR(SUMIFS(Catálogo!$X:X,Catálogo!$A:$A,$A27),1000),400000)</f>
        <v/>
      </c>
      <c r="T27" s="5">
        <f>MAX(CEILING(SUMIFS(Catálogo!$Y:Y,Catálogo!$A:$A,$A27),1000),400000)</f>
        <v/>
      </c>
      <c r="U27" s="11">
        <f>SUMIFS(Catálogo!$N:$N,Catálogo!$A:$A,$A27)</f>
        <v/>
      </c>
      <c r="V27" s="11">
        <f>SUMIFS(Catálogo!$O:$O,Catálogo!$A:$A,$A27)</f>
        <v/>
      </c>
      <c r="W27" s="5">
        <f>MAX(FLOOR(SUMIFS(Catálogo!$Z:Z,Catálogo!$A:$A,$A27),1000),400000)</f>
        <v/>
      </c>
      <c r="X27" s="5">
        <f>MAX(CEILING(SUMIFS(Catálogo!$AA:AA,Catálogo!$A:$A,$A27),1000),400000)</f>
        <v/>
      </c>
      <c r="Y27" s="12">
        <f>K27</f>
        <v/>
      </c>
      <c r="AA27" s="5">
        <f>SUMIFS(Catálogo!$F:$F,Catálogo!$A:$A,$A27)</f>
        <v/>
      </c>
      <c r="AB27" s="5">
        <f>SUMIFS(Catálogo!$Z:Z,Catálogo!$A:$A,$A27)</f>
        <v/>
      </c>
      <c r="AC27" s="5">
        <f>SUMIFS(Catálogo!$H:$H,Catálogo!$A:$A,$A27)</f>
        <v/>
      </c>
      <c r="AD27" s="5">
        <f>SUMIFS(Catálogo!$Z:Z,Catálogo!$A:$A,$A27)</f>
        <v/>
      </c>
      <c r="AE27" s="5">
        <f>SUMIFS(Catálogo!$J:$J,Catálogo!$A:$A,$A27)</f>
        <v/>
      </c>
      <c r="AF27" s="5">
        <f>SUMIFS(Catálogo!$Z:Z,Catálogo!$A:$A,$A27)</f>
        <v/>
      </c>
      <c r="AG27" s="5">
        <f>SUMIFS(Catálogo!$L:$L,Catálogo!$A:$A,$A27)</f>
        <v/>
      </c>
      <c r="AH27" s="5">
        <f>SUMIFS(Catálogo!$Z:Z,Catálogo!$A:$A,$A27)</f>
        <v/>
      </c>
      <c r="AI27" s="5">
        <f>SUMIFS(Catálogo!$N:$N,Catálogo!$A:$A,$A27)</f>
        <v/>
      </c>
      <c r="AJ27" s="5">
        <f>SUMIFS(Catálogo!$Z:Z,Catálogo!$A:$A,$A27)</f>
        <v/>
      </c>
    </row>
    <row r="28">
      <c r="A28" t="inlineStr">
        <is>
          <t>TEX-01</t>
        </is>
      </c>
      <c r="B28" t="inlineStr">
        <is>
          <t>Generacion de texturas y mapas</t>
        </is>
      </c>
      <c r="C28" t="inlineStr">
        <is>
          <t>texturas</t>
        </is>
      </c>
      <c r="D28" t="inlineStr">
        <is>
          <t>1-45</t>
        </is>
      </c>
      <c r="E28" s="11">
        <f>IF(SUMIFS(Catálogo!$F:$F,Catálogo!$A:$A,$A28)=0,SUMIFS(Catálogo!$H:$H,Catálogo!$A:$A,$A28),SUMIFS(Catálogo!$F:$F,Catálogo!$A:$A,$A28))</f>
        <v/>
      </c>
      <c r="F28" s="11">
        <f>IF(SUMIFS(Catálogo!$G:$G,Catálogo!$A:$A,$A28)=0,SUMIFS(Catálogo!$I:$I,Catálogo!$A:$A,$A28),SUMIFS(Catálogo!$G:$G,Catálogo!$A:$A,$A28))</f>
        <v/>
      </c>
      <c r="G28" s="5">
        <f>IF(SUMIFS(Catálogo!$F:$F,Catálogo!$A:$A,$A28)=0,MAX(FLOOR(SUMIFS(Catálogo!$T:$T,Catálogo!$A:$A,$A28),1000),400000),MAX(FLOOR(SUMIFS(Catálogo!$R:$R,Catálogo!$A:$A,$A28),1000),400000))</f>
        <v/>
      </c>
      <c r="H28" s="5">
        <f>IF(SUMIFS(Catálogo!$G:$G,Catálogo!$A:$A,$A28)=0,MAX(CEILING(SUMIFS(Catálogo!$U:$U,Catálogo!$A:$A,$A28),1000),400000),MAX(CEILING(SUMIFS(Catálogo!$S:$S,Catálogo!$A:$A,$A28),1000),400000))</f>
        <v/>
      </c>
      <c r="I28" s="11">
        <f>SUMIFS(Catálogo!$H:$H,Catálogo!$A:$A,$A28)</f>
        <v/>
      </c>
      <c r="J28" s="11">
        <f>SUMIFS(Catálogo!$I:$I,Catálogo!$A:$A,$A28)</f>
        <v/>
      </c>
      <c r="K28" s="5">
        <f>MAX(FLOOR(SUMIFS(Catálogo!$T:T,Catálogo!$A:$A,$A28),1000),400000)</f>
        <v/>
      </c>
      <c r="L28" s="5">
        <f>MAX(CEILING(SUMIFS(Catálogo!$U:U,Catálogo!$A:$A,$A28),1000),400000)</f>
        <v/>
      </c>
      <c r="M28" s="11">
        <f>SUMIFS(Catálogo!$J:$J,Catálogo!$A:$A,$A28)</f>
        <v/>
      </c>
      <c r="N28" s="11">
        <f>SUMIFS(Catálogo!$K:$K,Catálogo!$A:$A,$A28)</f>
        <v/>
      </c>
      <c r="O28" s="5">
        <f>MAX(FLOOR(SUMIFS(Catálogo!$V:V,Catálogo!$A:$A,$A28),1000),400000)</f>
        <v/>
      </c>
      <c r="P28" s="5">
        <f>MAX(CEILING(SUMIFS(Catálogo!$W:W,Catálogo!$A:$A,$A28),1000),400000)</f>
        <v/>
      </c>
      <c r="Q28" s="11">
        <f>SUMIFS(Catálogo!$L:$L,Catálogo!$A:$A,$A28)</f>
        <v/>
      </c>
      <c r="R28" s="11">
        <f>SUMIFS(Catálogo!$M:$M,Catálogo!$A:$A,$A28)</f>
        <v/>
      </c>
      <c r="S28" s="5">
        <f>MAX(FLOOR(SUMIFS(Catálogo!$X:X,Catálogo!$A:$A,$A28),1000),400000)</f>
        <v/>
      </c>
      <c r="T28" s="5">
        <f>MAX(CEILING(SUMIFS(Catálogo!$Y:Y,Catálogo!$A:$A,$A28),1000),400000)</f>
        <v/>
      </c>
      <c r="U28" s="11">
        <f>SUMIFS(Catálogo!$N:$N,Catálogo!$A:$A,$A28)</f>
        <v/>
      </c>
      <c r="V28" s="11">
        <f>SUMIFS(Catálogo!$O:$O,Catálogo!$A:$A,$A28)</f>
        <v/>
      </c>
      <c r="W28" s="5">
        <f>MAX(FLOOR(SUMIFS(Catálogo!$Z:Z,Catálogo!$A:$A,$A28),1000),400000)</f>
        <v/>
      </c>
      <c r="X28" s="5">
        <f>MAX(CEILING(SUMIFS(Catálogo!$AA:AA,Catálogo!$A:$A,$A28),1000),400000)</f>
        <v/>
      </c>
      <c r="Y28" s="12">
        <f>K28</f>
        <v/>
      </c>
      <c r="AA28" s="5">
        <f>SUMIFS(Catálogo!$F:$F,Catálogo!$A:$A,$A28)</f>
        <v/>
      </c>
      <c r="AB28" s="5">
        <f>SUMIFS(Catálogo!$Z:Z,Catálogo!$A:$A,$A28)</f>
        <v/>
      </c>
      <c r="AC28" s="5">
        <f>SUMIFS(Catálogo!$H:$H,Catálogo!$A:$A,$A28)</f>
        <v/>
      </c>
      <c r="AD28" s="5">
        <f>SUMIFS(Catálogo!$Z:Z,Catálogo!$A:$A,$A28)</f>
        <v/>
      </c>
      <c r="AE28" s="5">
        <f>SUMIFS(Catálogo!$J:$J,Catálogo!$A:$A,$A28)</f>
        <v/>
      </c>
      <c r="AF28" s="5">
        <f>SUMIFS(Catálogo!$Z:Z,Catálogo!$A:$A,$A28)</f>
        <v/>
      </c>
      <c r="AG28" s="5">
        <f>SUMIFS(Catálogo!$L:$L,Catálogo!$A:$A,$A28)</f>
        <v/>
      </c>
      <c r="AH28" s="5">
        <f>SUMIFS(Catálogo!$Z:Z,Catálogo!$A:$A,$A28)</f>
        <v/>
      </c>
      <c r="AI28" s="5">
        <f>SUMIFS(Catálogo!$N:$N,Catálogo!$A:$A,$A28)</f>
        <v/>
      </c>
      <c r="AJ28" s="5">
        <f>SUMIFS(Catálogo!$Z:Z,Catálogo!$A:$A,$A28)</f>
        <v/>
      </c>
    </row>
    <row r="29">
      <c r="A29" t="inlineStr">
        <is>
          <t>PIPE-01</t>
        </is>
      </c>
      <c r="B29" t="inlineStr">
        <is>
          <t>Automatizacion de pipeline/scripts/tools</t>
        </is>
      </c>
      <c r="C29" t="inlineStr">
        <is>
          <t>pipeline</t>
        </is>
      </c>
      <c r="D29" t="inlineStr">
        <is>
          <t>1-80</t>
        </is>
      </c>
      <c r="E29" s="11">
        <f>IF(SUMIFS(Catálogo!$F:$F,Catálogo!$A:$A,$A29)=0,SUMIFS(Catálogo!$H:$H,Catálogo!$A:$A,$A29),SUMIFS(Catálogo!$F:$F,Catálogo!$A:$A,$A29))</f>
        <v/>
      </c>
      <c r="F29" s="11">
        <f>IF(SUMIFS(Catálogo!$G:$G,Catálogo!$A:$A,$A29)=0,SUMIFS(Catálogo!$I:$I,Catálogo!$A:$A,$A29),SUMIFS(Catálogo!$G:$G,Catálogo!$A:$A,$A29))</f>
        <v/>
      </c>
      <c r="G29" s="5">
        <f>IF(SUMIFS(Catálogo!$F:$F,Catálogo!$A:$A,$A29)=0,MAX(FLOOR(SUMIFS(Catálogo!$T:$T,Catálogo!$A:$A,$A29),1000),400000),MAX(FLOOR(SUMIFS(Catálogo!$R:$R,Catálogo!$A:$A,$A29),1000),400000))</f>
        <v/>
      </c>
      <c r="H29" s="5">
        <f>IF(SUMIFS(Catálogo!$G:$G,Catálogo!$A:$A,$A29)=0,MAX(CEILING(SUMIFS(Catálogo!$U:$U,Catálogo!$A:$A,$A29),1000),400000),MAX(CEILING(SUMIFS(Catálogo!$S:$S,Catálogo!$A:$A,$A29),1000),400000))</f>
        <v/>
      </c>
      <c r="I29" s="11">
        <f>SUMIFS(Catálogo!$H:$H,Catálogo!$A:$A,$A29)</f>
        <v/>
      </c>
      <c r="J29" s="11">
        <f>SUMIFS(Catálogo!$I:$I,Catálogo!$A:$A,$A29)</f>
        <v/>
      </c>
      <c r="K29" s="5">
        <f>MAX(FLOOR(SUMIFS(Catálogo!$T:T,Catálogo!$A:$A,$A29),1000),400000)</f>
        <v/>
      </c>
      <c r="L29" s="5">
        <f>MAX(CEILING(SUMIFS(Catálogo!$U:U,Catálogo!$A:$A,$A29),1000),400000)</f>
        <v/>
      </c>
      <c r="M29" s="11">
        <f>SUMIFS(Catálogo!$J:$J,Catálogo!$A:$A,$A29)</f>
        <v/>
      </c>
      <c r="N29" s="11">
        <f>SUMIFS(Catálogo!$K:$K,Catálogo!$A:$A,$A29)</f>
        <v/>
      </c>
      <c r="O29" s="5">
        <f>MAX(FLOOR(SUMIFS(Catálogo!$V:V,Catálogo!$A:$A,$A29),1000),400000)</f>
        <v/>
      </c>
      <c r="P29" s="5">
        <f>MAX(CEILING(SUMIFS(Catálogo!$W:W,Catálogo!$A:$A,$A29),1000),400000)</f>
        <v/>
      </c>
      <c r="Q29" s="11">
        <f>SUMIFS(Catálogo!$L:$L,Catálogo!$A:$A,$A29)</f>
        <v/>
      </c>
      <c r="R29" s="11">
        <f>SUMIFS(Catálogo!$M:$M,Catálogo!$A:$A,$A29)</f>
        <v/>
      </c>
      <c r="S29" s="5">
        <f>MAX(FLOOR(SUMIFS(Catálogo!$X:X,Catálogo!$A:$A,$A29),1000),400000)</f>
        <v/>
      </c>
      <c r="T29" s="5">
        <f>MAX(CEILING(SUMIFS(Catálogo!$Y:Y,Catálogo!$A:$A,$A29),1000),400000)</f>
        <v/>
      </c>
      <c r="U29" s="11">
        <f>SUMIFS(Catálogo!$N:$N,Catálogo!$A:$A,$A29)</f>
        <v/>
      </c>
      <c r="V29" s="11">
        <f>SUMIFS(Catálogo!$O:$O,Catálogo!$A:$A,$A29)</f>
        <v/>
      </c>
      <c r="W29" s="5">
        <f>MAX(FLOOR(SUMIFS(Catálogo!$Z:Z,Catálogo!$A:$A,$A29),1000),400000)</f>
        <v/>
      </c>
      <c r="X29" s="5">
        <f>MAX(CEILING(SUMIFS(Catálogo!$AA:AA,Catálogo!$A:$A,$A29),1000),400000)</f>
        <v/>
      </c>
      <c r="Y29" s="12">
        <f>K29</f>
        <v/>
      </c>
      <c r="AA29" s="5">
        <f>SUMIFS(Catálogo!$F:$F,Catálogo!$A:$A,$A29)</f>
        <v/>
      </c>
      <c r="AB29" s="5">
        <f>SUMIFS(Catálogo!$Z:Z,Catálogo!$A:$A,$A29)</f>
        <v/>
      </c>
      <c r="AC29" s="5">
        <f>SUMIFS(Catálogo!$H:$H,Catálogo!$A:$A,$A29)</f>
        <v/>
      </c>
      <c r="AD29" s="5">
        <f>SUMIFS(Catálogo!$Z:Z,Catálogo!$A:$A,$A29)</f>
        <v/>
      </c>
      <c r="AE29" s="5">
        <f>SUMIFS(Catálogo!$J:$J,Catálogo!$A:$A,$A29)</f>
        <v/>
      </c>
      <c r="AF29" s="5">
        <f>SUMIFS(Catálogo!$Z:Z,Catálogo!$A:$A,$A29)</f>
        <v/>
      </c>
      <c r="AG29" s="5">
        <f>SUMIFS(Catálogo!$L:$L,Catálogo!$A:$A,$A29)</f>
        <v/>
      </c>
      <c r="AH29" s="5">
        <f>SUMIFS(Catálogo!$Z:Z,Catálogo!$A:$A,$A29)</f>
        <v/>
      </c>
      <c r="AI29" s="5">
        <f>SUMIFS(Catálogo!$N:$N,Catálogo!$A:$A,$A29)</f>
        <v/>
      </c>
      <c r="AJ29" s="5">
        <f>SUMIFS(Catálogo!$Z:Z,Catálogo!$A:$A,$A29)</f>
        <v/>
      </c>
    </row>
  </sheetData>
  <autoFilter ref="A1:Y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26" customWidth="1" min="5" max="5"/>
    <col width="26" customWidth="1" min="6" max="6"/>
    <col width="14" customWidth="1" min="7" max="7"/>
  </cols>
  <sheetData>
    <row r="1">
      <c r="A1" s="1" t="inlineStr">
        <is>
          <t>Cómo cada decisión del wizard se refleja en tiempos y precios</t>
        </is>
      </c>
    </row>
    <row r="3">
      <c r="A3" s="7" t="inlineStr">
        <is>
          <t>Regla general: el wizard mapea tus respuestas a VARIABLES de un servicio (serviceVariables.ts); esas variables eligen el NIVEL (tierMap) y el nivel define horas → precio (Resumen Servicios). Si el modelo no existe o es CAD, se SUMA un segundo servicio (RTA-01 creación / CAD-01 conversión).</t>
        </is>
      </c>
    </row>
    <row r="4"/>
    <row r="5"/>
    <row r="7">
      <c r="A7" s="1" t="inlineStr">
        <is>
          <t>A. Decisiones → efecto exacto</t>
        </is>
      </c>
    </row>
    <row r="8">
      <c r="A8" s="4" t="inlineStr">
        <is>
          <t>Rama</t>
        </is>
      </c>
      <c r="B8" s="4" t="inlineStr">
        <is>
          <t>Pregunta / decisión</t>
        </is>
      </c>
      <c r="C8" s="4" t="inlineStr">
        <is>
          <t>Si dices N…</t>
        </is>
      </c>
      <c r="D8" s="4" t="inlineStr">
        <is>
          <t>Se mapea a</t>
        </is>
      </c>
      <c r="E8" s="4" t="inlineStr">
        <is>
          <t>Efecto en precio</t>
        </is>
      </c>
    </row>
    <row r="9">
      <c r="A9" s="13" t="inlineStr">
        <is>
          <t>Todas web-3D</t>
        </is>
      </c>
      <c r="B9" s="13" t="inlineStr">
        <is>
          <t>¿Ya tienes el modelo 3D? → No</t>
        </is>
      </c>
      <c r="C9" s="13" t="inlineStr">
        <is>
          <t>—</t>
        </is>
      </c>
      <c r="D9" s="13" t="inlineStr">
        <is>
          <t>Se SUMA RTA-01 (creación desde cero) como servicio extra</t>
        </is>
      </c>
      <c r="E9" s="13" t="inlineStr">
        <is>
          <t>Suma el rango completo de RTA-01 al total</t>
        </is>
      </c>
    </row>
    <row r="10">
      <c r="A10" s="13" t="inlineStr">
        <is>
          <t>Todas web-3D</t>
        </is>
      </c>
      <c r="B10" s="13" t="inlineStr">
        <is>
          <t>¿Ya tienes el modelo? → Sí + formato STEP o CAD limpio</t>
        </is>
      </c>
      <c r="C10" s="13" t="inlineStr">
        <is>
          <t>—</t>
        </is>
      </c>
      <c r="D10" s="13" t="inlineStr">
        <is>
          <t>Se SUMA CAD-01 (conversión) como servicio extra</t>
        </is>
      </c>
      <c r="E10" s="13" t="inlineStr">
        <is>
          <t>Suma el rango completo de CAD-01</t>
        </is>
      </c>
    </row>
    <row r="11">
      <c r="A11" s="13" t="inlineStr">
        <is>
          <t>Todas web-3D</t>
        </is>
      </c>
      <c r="B11" s="13" t="inlineStr">
        <is>
          <t>Sí + escaneo o solo fotos</t>
        </is>
      </c>
      <c r="C11" s="13" t="inlineStr">
        <is>
          <t>—</t>
        </is>
      </c>
      <c r="D11" s="13" t="inlineStr">
        <is>
          <t>Se SUMA RTA-01 como "preparación del modelo"</t>
        </is>
      </c>
      <c r="E11" s="13" t="inlineStr">
        <is>
          <t>Suma RTA-01 (nivel según detalle elegido)</t>
        </is>
      </c>
    </row>
    <row r="12">
      <c r="A12" s="13" t="inlineStr">
        <is>
          <t>Todas web-3D</t>
        </is>
      </c>
      <c r="B12" s="13" t="inlineStr">
        <is>
          <t>Sí + glTF/GLB</t>
        </is>
      </c>
      <c r="C12" s="13" t="inlineStr">
        <is>
          <t>—</t>
        </is>
      </c>
      <c r="D12" s="13" t="inlineStr">
        <is>
          <t>Sin extra (web-ready)</t>
        </is>
      </c>
      <c r="E12" s="13" t="inlineStr">
        <is>
          <t>Solo el visor</t>
        </is>
      </c>
    </row>
    <row r="13">
      <c r="A13" s="13" t="inlineStr">
        <is>
          <t>ver-modelo / interactivo / scrollytelling / web-app</t>
        </is>
      </c>
      <c r="B13" s="13" t="inlineStr">
        <is>
          <t>Nivel de detalle = N (1–5 continuo)</t>
        </is>
      </c>
      <c r="C13" s="13" t="inlineStr">
        <is>
          <t>N → poligonos interpolados</t>
        </is>
      </c>
      <c r="D13" s="13" t="inlineStr">
        <is>
          <t>RTA-01.polyCount = interpolación [4k, 9k, 40k, 120k, 300k] redondeada a 500</t>
        </is>
      </c>
      <c r="E13" s="13" t="inlineStr">
        <is>
          <t>Cambia el tier de RTA-01 (≤10k S · ≤50k M · ≤150k L)</t>
        </is>
      </c>
    </row>
    <row r="14">
      <c r="A14" s="13" t="inlineStr">
        <is>
          <t>ver-modelo / interactivo / scrollytelling / web-app</t>
        </is>
      </c>
      <c r="B14" s="13" t="inlineStr">
        <is>
          <t>Superficie = N (1–5)</t>
        </is>
      </c>
      <c r="C14" s="13" t="inlineStr">
        <is>
          <t>N → tipoSuperficie</t>
        </is>
      </c>
      <c r="D14" s="13" t="inlineStr">
        <is>
          <t>RTA-01.tipoSuperficie</t>
        </is>
      </c>
      <c r="E14" s="13" t="inlineStr">
        <is>
          <t>≤2 S · 3 M · 4 L · 5 XL (+nota discovery)</t>
        </is>
      </c>
    </row>
    <row r="15">
      <c r="A15" s="13" t="inlineStr">
        <is>
          <t>ver-modelo / interactivo / scrollytelling / web-app</t>
        </is>
      </c>
      <c r="B15" s="13" t="inlineStr">
        <is>
          <t>Cantidad de piezas = N</t>
        </is>
      </c>
      <c r="C15" s="13" t="inlineStr">
        <is>
          <t>N → numPiezas</t>
        </is>
      </c>
      <c r="D15" s="13" t="inlineStr">
        <is>
          <t>RTA-01.numPiezas / CAD-01.numPiezas</t>
        </is>
      </c>
      <c r="E15" s="13" t="inlineStr">
        <is>
          <t>≤8 S · ≤30 M · ≤100 L (CAD: ≤15 S · ≤60 M · ≤300 L)</t>
        </is>
      </c>
    </row>
    <row r="16">
      <c r="A16" s="13" t="inlineStr">
        <is>
          <t>ver-modelo / interactivo / scrollytelling / web-app</t>
        </is>
      </c>
      <c r="B16" s="13" t="inlineStr">
        <is>
          <t>Acabados = simple / variado / detallado</t>
        </is>
      </c>
      <c r="C16" s="13" t="inlineStr">
        <is>
          <t>—</t>
        </is>
      </c>
      <c r="D16" s="13" t="inlineStr">
        <is>
          <t>RTA-01.numTexturas = 1 / 3 / 6</t>
        </is>
      </c>
      <c r="E16" s="13" t="inlineStr">
        <is>
          <t>Sube el tier si cruza umbrales de otras variables</t>
        </is>
      </c>
    </row>
    <row r="17">
      <c r="A17" s="13" t="inlineStr">
        <is>
          <t>ver-modelo</t>
        </is>
      </c>
      <c r="B17" s="13" t="inlineStr">
        <is>
          <t>Interfaz del visor = hotspots (avanzado)</t>
        </is>
      </c>
      <c r="C17" s="13" t="inlineStr">
        <is>
          <t>—</t>
        </is>
      </c>
      <c r="D17" s="13" t="inlineStr">
        <is>
          <t>WEB-01.numHotspots = 8</t>
        </is>
      </c>
      <c r="E17" s="13" t="inlineStr">
        <is>
          <t>≤5 S · ≤15 M · ≤30 L</t>
        </is>
      </c>
    </row>
    <row r="18">
      <c r="A18" s="13" t="inlineStr">
        <is>
          <t>ver-modelo</t>
        </is>
      </c>
      <c r="B18" s="13" t="inlineStr">
        <is>
          <t>Dónde se muestra = feria / móvil / landing</t>
        </is>
      </c>
      <c r="C18" s="13" t="inlineStr">
        <is>
          <t>—</t>
        </is>
      </c>
      <c r="D18" s="13" t="inlineStr">
        <is>
          <t>WEB-01.target = Desktop + móvil</t>
        </is>
      </c>
      <c r="E18" s="13" t="inlineStr">
        <is>
          <t>tier M (vs Desktop = S)</t>
        </is>
      </c>
    </row>
    <row r="19">
      <c r="A19" s="13" t="inlineStr">
        <is>
          <t>interactivo</t>
        </is>
      </c>
      <c r="B19" s="13" t="inlineStr">
        <is>
          <t>Tipo de interactividad = configurar  O  plataforma = app</t>
        </is>
      </c>
      <c r="C19" s="13" t="inlineStr">
        <is>
          <t>—</t>
        </is>
      </c>
      <c r="D19" s="13" t="inlineStr">
        <is>
          <t>Cambia el servicio a WEB-04 (Web App)</t>
        </is>
      </c>
      <c r="E19" s="13" t="inlineStr">
        <is>
          <t>WEB-04 es más costoso que WEB-01</t>
        </is>
      </c>
    </row>
    <row r="20">
      <c r="A20" s="13" t="inlineStr">
        <is>
          <t>interactivo</t>
        </is>
      </c>
      <c r="B20" s="13" t="inlineStr">
        <is>
          <t>Tipo de interactividad = hotspots</t>
        </is>
      </c>
      <c r="C20" s="13" t="inlineStr">
        <is>
          <t>—</t>
        </is>
      </c>
      <c r="D20" s="13" t="inlineStr">
        <is>
          <t>WEB-01.numHotspots = 8</t>
        </is>
      </c>
      <c r="E20" s="13" t="inlineStr">
        <is>
          <t>Tier M del visor</t>
        </is>
      </c>
    </row>
    <row r="21">
      <c r="A21" s="13" t="inlineStr">
        <is>
          <t>scrollytelling</t>
        </is>
      </c>
      <c r="B21" s="13" t="inlineStr">
        <is>
          <t>Escenas = N (1–15)</t>
        </is>
      </c>
      <c r="C21" s="13" t="inlineStr">
        <is>
          <t>N → numSecciones</t>
        </is>
      </c>
      <c r="D21" s="13" t="inlineStr">
        <is>
          <t>WEB-05.numSecciones</t>
        </is>
      </c>
      <c r="E21" s="13" t="inlineStr">
        <is>
          <t>≤4 S · ≤8 M · ≤15 L</t>
        </is>
      </c>
    </row>
    <row r="22">
      <c r="A22" s="13" t="inlineStr">
        <is>
          <t>web-app</t>
        </is>
      </c>
      <c r="B22" s="13" t="inlineStr">
        <is>
          <t>Tipo de app = configurador / catálogo / herramienta / juego</t>
        </is>
      </c>
      <c r="C22" s="13" t="inlineStr">
        <is>
          <t>—</t>
        </is>
      </c>
      <c r="D22" s="13" t="inlineStr">
        <is>
          <t>Enruta a WEB-04 / WEB-07 / WEB-04 / WEB-06</t>
        </is>
      </c>
      <c r="E22" s="13" t="inlineStr">
        <is>
          <t>Servicios con rangos muy distintos</t>
        </is>
      </c>
    </row>
    <row r="23">
      <c r="A23" s="13" t="inlineStr">
        <is>
          <t>web-app</t>
        </is>
      </c>
      <c r="B23" s="13" t="inlineStr">
        <is>
          <t>Variantes configurables = N</t>
        </is>
      </c>
      <c r="C23" s="13" t="inlineStr">
        <is>
          <t>N → numVariantes</t>
        </is>
      </c>
      <c r="D23" s="13" t="inlineStr">
        <is>
          <t>WEB-04.numVariantes</t>
        </is>
      </c>
      <c r="E23" s="13" t="inlineStr">
        <is>
          <t>≤10 S · ≤25 M · ≤50 L</t>
        </is>
      </c>
    </row>
    <row r="24">
      <c r="A24" s="13" t="inlineStr">
        <is>
          <t>web-app</t>
        </is>
      </c>
      <c r="B24" s="13" t="inlineStr">
        <is>
          <t>Usuarios = equipo interno (avanzado)</t>
        </is>
      </c>
      <c r="C24" s="13" t="inlineStr">
        <is>
          <t>—</t>
        </is>
      </c>
      <c r="D24" s="13" t="inlineStr">
        <is>
          <t>WEB-04.auth = true</t>
        </is>
      </c>
      <c r="E24" s="13" t="inlineStr">
        <is>
          <t>Sube a tier L</t>
        </is>
      </c>
    </row>
    <row r="25">
      <c r="A25" s="13" t="inlineStr">
        <is>
          <t>web-app</t>
        </is>
      </c>
      <c r="B25" s="13" t="inlineStr">
        <is>
          <t>Origen de datos = CMS / API (avanzado)</t>
        </is>
      </c>
      <c r="C25" s="13" t="inlineStr">
        <is>
          <t>—</t>
        </is>
      </c>
      <c r="D25" s="13" t="inlineStr">
        <is>
          <t>WEB-04.fuenteDatos</t>
        </is>
      </c>
      <c r="E25" s="13" t="inlineStr">
        <is>
          <t>CMS tier M · API tier L</t>
        </is>
      </c>
    </row>
    <row r="27">
      <c r="A27" s="1" t="inlineStr">
        <is>
          <t>B. Umbrales EXACTOS (tierMaps) que usa derivarTier</t>
        </is>
      </c>
    </row>
    <row r="28">
      <c r="A28" s="4" t="inlineStr">
        <is>
          <t>Servicio</t>
        </is>
      </c>
      <c r="B28" s="4" t="inlineStr">
        <is>
          <t>Variable</t>
        </is>
      </c>
      <c r="C28" s="4" t="inlineStr">
        <is>
          <t>Umbral → nivel</t>
        </is>
      </c>
    </row>
    <row r="29">
      <c r="A29" t="inlineStr">
        <is>
          <t>RND-01</t>
        </is>
      </c>
      <c r="B29" t="inlineStr">
        <is>
          <t>numImagenes</t>
        </is>
      </c>
      <c r="C29" t="inlineStr">
        <is>
          <t>≤2 → S · ≤5 → M · ≤12 → L</t>
        </is>
      </c>
    </row>
    <row r="30">
      <c r="A30" t="inlineStr">
        <is>
          <t>RND-01</t>
        </is>
      </c>
      <c r="B30" t="inlineStr">
        <is>
          <t>numMateriales</t>
        </is>
      </c>
      <c r="C30" t="inlineStr">
        <is>
          <t>≤3 → S · ≤6 → M · ≤99 → L</t>
        </is>
      </c>
    </row>
    <row r="31">
      <c r="A31" t="inlineStr">
        <is>
          <t>RND-01</t>
        </is>
      </c>
      <c r="B31" t="inlineStr">
        <is>
          <t>resolucion</t>
        </is>
      </c>
      <c r="C31" t="inlineStr">
        <is>
          <t>Web (≤2K) → S · Print (4K+) → M</t>
        </is>
      </c>
    </row>
    <row r="32">
      <c r="A32" t="inlineStr">
        <is>
          <t>RND-02</t>
        </is>
      </c>
      <c r="B32" t="inlineStr">
        <is>
          <t>duracion</t>
        </is>
      </c>
      <c r="C32" t="inlineStr">
        <is>
          <t>≤10 → S · ≤30 → M · ≤90 → L</t>
        </is>
      </c>
    </row>
    <row r="33">
      <c r="A33" t="inlineStr">
        <is>
          <t>RND-02</t>
        </is>
      </c>
      <c r="B33" t="inlineStr">
        <is>
          <t>numShots</t>
        </is>
      </c>
      <c r="C33" t="inlineStr">
        <is>
          <t>≤2 → S · ≤4 → M · ≤12 → L</t>
        </is>
      </c>
    </row>
    <row r="34">
      <c r="A34" t="inlineStr">
        <is>
          <t>RTA-01</t>
        </is>
      </c>
      <c r="B34" t="inlineStr">
        <is>
          <t>polyCount</t>
        </is>
      </c>
      <c r="C34" t="inlineStr">
        <is>
          <t>≤10000 → S · ≤50000 → M · ≤150000 → L</t>
        </is>
      </c>
    </row>
    <row r="35">
      <c r="A35" t="inlineStr">
        <is>
          <t>RTA-01</t>
        </is>
      </c>
      <c r="B35" t="inlineStr">
        <is>
          <t>numPiezas</t>
        </is>
      </c>
      <c r="C35" t="inlineStr">
        <is>
          <t>≤8 → S · ≤30 → M · ≤100 → L</t>
        </is>
      </c>
    </row>
    <row r="36">
      <c r="A36" t="inlineStr">
        <is>
          <t>RTA-01</t>
        </is>
      </c>
      <c r="B36" t="inlineStr">
        <is>
          <t>tipoSuperficie</t>
        </is>
      </c>
      <c r="C36" t="inlineStr">
        <is>
          <t>≤2 → S · ≤3 → M · ≤4 → L · ≤5 → XL</t>
        </is>
      </c>
    </row>
    <row r="37">
      <c r="A37" t="inlineStr">
        <is>
          <t>RTA-01</t>
        </is>
      </c>
      <c r="B37" t="inlineStr">
        <is>
          <t>fuente</t>
        </is>
      </c>
      <c r="C37" t="inlineStr">
        <is>
          <t>Ya tengo el modelo 3D → S · Desde CAD (requiere conversión) → M · Desde fotos (requiere modelado) → L</t>
        </is>
      </c>
    </row>
    <row r="38">
      <c r="A38" t="inlineStr">
        <is>
          <t>RTA-01</t>
        </is>
      </c>
      <c r="B38" t="inlineStr">
        <is>
          <t>numTexturas</t>
        </is>
      </c>
      <c r="C38" t="inlineStr">
        <is>
          <t>≤2 → S · ≤4 → M · ≤10 → L</t>
        </is>
      </c>
    </row>
    <row r="39">
      <c r="A39" t="inlineStr">
        <is>
          <t>RTA-02</t>
        </is>
      </c>
      <c r="B39" t="inlineStr">
        <is>
          <t>polyCount</t>
        </is>
      </c>
      <c r="C39" t="inlineStr">
        <is>
          <t>≤10000 → S · ≤50000 → M · ≤150000 → L</t>
        </is>
      </c>
    </row>
    <row r="40">
      <c r="A40" t="inlineStr">
        <is>
          <t>RTA-02</t>
        </is>
      </c>
      <c r="B40" t="inlineStr">
        <is>
          <t>numHotspots</t>
        </is>
      </c>
      <c r="C40" t="inlineStr">
        <is>
          <t>≤5 → S · ≤15 → M · ≤30 → L</t>
        </is>
      </c>
    </row>
    <row r="41">
      <c r="A41" t="inlineStr">
        <is>
          <t>RTA-03</t>
        </is>
      </c>
      <c r="B41" t="inlineStr">
        <is>
          <t>polyCount</t>
        </is>
      </c>
      <c r="C41" t="inlineStr">
        <is>
          <t>≤10000 → S · ≤50000 → M · ≤150000 → L</t>
        </is>
      </c>
    </row>
    <row r="42">
      <c r="A42" t="inlineStr">
        <is>
          <t>RTA-03</t>
        </is>
      </c>
      <c r="B42" t="inlineStr">
        <is>
          <t>numLoops</t>
        </is>
      </c>
      <c r="C42" t="inlineStr">
        <is>
          <t>≤2 → S · ≤5 → M · ≤10 → L</t>
        </is>
      </c>
    </row>
    <row r="43">
      <c r="A43" t="inlineStr">
        <is>
          <t>RTA-04</t>
        </is>
      </c>
      <c r="B43" t="inlineStr">
        <is>
          <t>polyCount</t>
        </is>
      </c>
      <c r="C43" t="inlineStr">
        <is>
          <t>≤10000 → S · ≤50000 → M · ≤150000 → L</t>
        </is>
      </c>
    </row>
    <row r="44">
      <c r="A44" t="inlineStr">
        <is>
          <t>RTA-04</t>
        </is>
      </c>
      <c r="B44" t="inlineStr">
        <is>
          <t>numEstados</t>
        </is>
      </c>
      <c r="C44" t="inlineStr">
        <is>
          <t>≤5 → S · ≤12 → M · ≤20 → L</t>
        </is>
      </c>
    </row>
    <row r="45">
      <c r="A45" t="inlineStr">
        <is>
          <t>RTA-05</t>
        </is>
      </c>
      <c r="B45" t="inlineStr">
        <is>
          <t>numShaders</t>
        </is>
      </c>
      <c r="C45" t="inlineStr">
        <is>
          <t>≤3 → S · ≤8 → M · ≤15 → L</t>
        </is>
      </c>
    </row>
    <row r="46">
      <c r="A46" t="inlineStr">
        <is>
          <t>RTA-05</t>
        </is>
      </c>
      <c r="B46" t="inlineStr">
        <is>
          <t>target</t>
        </is>
      </c>
      <c r="C46" t="inlineStr">
        <is>
          <t>Desktop → S · Desktop + móvil → M</t>
        </is>
      </c>
    </row>
    <row r="47">
      <c r="A47" t="inlineStr">
        <is>
          <t>RTA-06</t>
        </is>
      </c>
      <c r="B47" t="inlineStr">
        <is>
          <t>numPartes</t>
        </is>
      </c>
      <c r="C47" t="inlineStr">
        <is>
          <t>≤10 → S · ≤40 → M · ≤100 → L</t>
        </is>
      </c>
    </row>
    <row r="48">
      <c r="A48" t="inlineStr">
        <is>
          <t>RTA-06</t>
        </is>
      </c>
      <c r="B48" t="inlineStr">
        <is>
          <t>profundidad</t>
        </is>
      </c>
      <c r="C48" t="inlineStr">
        <is>
          <t>Explosión simple (una etapa) → S · Múltiples etapas con etiquetas → M · Completo con cotas y medición → L</t>
        </is>
      </c>
    </row>
    <row r="49">
      <c r="A49" t="inlineStr">
        <is>
          <t>WEB-01</t>
        </is>
      </c>
      <c r="B49" t="inlineStr">
        <is>
          <t>numHotspots</t>
        </is>
      </c>
      <c r="C49" t="inlineStr">
        <is>
          <t>≤5 → S · ≤15 → M · ≤30 → L</t>
        </is>
      </c>
    </row>
    <row r="50">
      <c r="A50" t="inlineStr">
        <is>
          <t>WEB-01</t>
        </is>
      </c>
      <c r="B50" t="inlineStr">
        <is>
          <t>datos</t>
        </is>
      </c>
      <c r="C50" t="inlineStr">
        <is>
          <t>Fijos (hardcode) → S · Dinámicos (CMS/API) → M</t>
        </is>
      </c>
    </row>
    <row r="51">
      <c r="A51" t="inlineStr">
        <is>
          <t>WEB-01</t>
        </is>
      </c>
      <c r="B51" t="inlineStr">
        <is>
          <t>target</t>
        </is>
      </c>
      <c r="C51" t="inlineStr">
        <is>
          <t>Desktop → S · Desktop + móvil → M</t>
        </is>
      </c>
    </row>
    <row r="52">
      <c r="A52" t="inlineStr">
        <is>
          <t>WEB-02</t>
        </is>
      </c>
      <c r="B52" t="inlineStr">
        <is>
          <t>numEscenas</t>
        </is>
      </c>
      <c r="C52" t="inlineStr">
        <is>
          <t>≤2 → S · ≤5 → M · ≤10 → L</t>
        </is>
      </c>
    </row>
    <row r="53">
      <c r="A53" t="inlineStr">
        <is>
          <t>WEB-03</t>
        </is>
      </c>
      <c r="B53" t="inlineStr">
        <is>
          <t>tamanoProyecto</t>
        </is>
      </c>
      <c r="C53" t="inlineStr">
        <is>
          <t>Pequeño (demo/prototype) → S · Medio (producto funcional) → M · Grande (app completa) → L</t>
        </is>
      </c>
    </row>
    <row r="54">
      <c r="A54" t="inlineStr">
        <is>
          <t>WEB-04</t>
        </is>
      </c>
      <c r="B54" t="inlineStr">
        <is>
          <t>numVariantes</t>
        </is>
      </c>
      <c r="C54" t="inlineStr">
        <is>
          <t>≤10 → S · ≤25 → M · ≤50 → L</t>
        </is>
      </c>
    </row>
    <row r="55">
      <c r="A55" t="inlineStr">
        <is>
          <t>WEB-04</t>
        </is>
      </c>
      <c r="B55" t="inlineStr">
        <is>
          <t>numSKUs</t>
        </is>
      </c>
      <c r="C55" t="inlineStr">
        <is>
          <t>≤5 → S · ≤20 → M · ≤100 → L</t>
        </is>
      </c>
    </row>
    <row r="56">
      <c r="A56" t="inlineStr">
        <is>
          <t>WEB-04</t>
        </is>
      </c>
      <c r="B56" t="inlineStr">
        <is>
          <t>fuenteDatos</t>
        </is>
      </c>
      <c r="C56" t="inlineStr">
        <is>
          <t>Estáticos (JSON local) → S · CMS → M · API externa → L</t>
        </is>
      </c>
    </row>
    <row r="57">
      <c r="A57" t="inlineStr">
        <is>
          <t>WEB-05</t>
        </is>
      </c>
      <c r="B57" t="inlineStr">
        <is>
          <t>numSecciones</t>
        </is>
      </c>
      <c r="C57" t="inlineStr">
        <is>
          <t>≤4 → S · ≤8 → M · ≤15 → L</t>
        </is>
      </c>
    </row>
    <row r="58">
      <c r="A58" t="inlineStr">
        <is>
          <t>WEB-06</t>
        </is>
      </c>
      <c r="B58" t="inlineStr">
        <is>
          <t>mecanica</t>
        </is>
      </c>
      <c r="C58" t="inlineStr">
        <is>
          <t>Simple (quiz, memory, puzzle) → S · Media (runner, plataforma) → M · Compleja (multiplayer, física) → L</t>
        </is>
      </c>
    </row>
    <row r="59">
      <c r="A59" t="inlineStr">
        <is>
          <t>WEB-07</t>
        </is>
      </c>
      <c r="B59" t="inlineStr">
        <is>
          <t>numProductos</t>
        </is>
      </c>
      <c r="C59" t="inlineStr">
        <is>
          <t>≤5 → S · ≤20 → M · ≤100 → L</t>
        </is>
      </c>
    </row>
    <row r="60">
      <c r="A60" t="inlineStr">
        <is>
          <t>WEB-08</t>
        </is>
      </c>
      <c r="B60" t="inlineStr">
        <is>
          <t>numSlides</t>
        </is>
      </c>
      <c r="C60" t="inlineStr">
        <is>
          <t>≤8 → S · ≤15 → M · ≤30 → L</t>
        </is>
      </c>
    </row>
    <row r="61">
      <c r="A61" t="inlineStr">
        <is>
          <t>AI-01</t>
        </is>
      </c>
      <c r="B61" t="inlineStr">
        <is>
          <t>fuentes</t>
        </is>
      </c>
      <c r="C61" t="inlineStr">
        <is>
          <t>≤5 → S · ≤15 → M · ≤50 → L</t>
        </is>
      </c>
    </row>
    <row r="62">
      <c r="A62" t="inlineStr">
        <is>
          <t>AI-01</t>
        </is>
      </c>
      <c r="B62" t="inlineStr">
        <is>
          <t>idiomas</t>
        </is>
      </c>
      <c r="C62" t="inlineStr">
        <is>
          <t>≤1 → S · ≤2 → M · ≤5 → L</t>
        </is>
      </c>
    </row>
    <row r="63">
      <c r="A63" t="inlineStr">
        <is>
          <t>AI-02</t>
        </is>
      </c>
      <c r="B63" t="inlineStr">
        <is>
          <t>numFlujos</t>
        </is>
      </c>
      <c r="C63" t="inlineStr">
        <is>
          <t>≤3 → S · ≤8 → M · ≤15 → L</t>
        </is>
      </c>
    </row>
    <row r="64">
      <c r="A64" t="inlineStr">
        <is>
          <t>AI-03</t>
        </is>
      </c>
      <c r="B64" t="inlineStr">
        <is>
          <t>numProcesos</t>
        </is>
      </c>
      <c r="C64" t="inlineStr">
        <is>
          <t>≤3 → S · ≤8 → M · ≤20 → L</t>
        </is>
      </c>
    </row>
    <row r="65">
      <c r="A65" t="inlineStr">
        <is>
          <t>AI-03</t>
        </is>
      </c>
      <c r="B65" t="inlineStr">
        <is>
          <t>madurez</t>
        </is>
      </c>
      <c r="C65" t="inlineStr">
        <is>
          <t>Muy digitalizado (herramientas cloud) → S · Parcialmente digital → M · Poco digitalizado (papel/excel) → L</t>
        </is>
      </c>
    </row>
    <row r="66">
      <c r="A66" t="inlineStr">
        <is>
          <t>AI-04</t>
        </is>
      </c>
      <c r="B66" t="inlineStr">
        <is>
          <t>tamanoOrg</t>
        </is>
      </c>
      <c r="C66" t="inlineStr">
        <is>
          <t>Pequeña (&lt;20 personas) → S · Mediana (20–100) → M · Grande (&gt;100) → L</t>
        </is>
      </c>
    </row>
    <row r="67">
      <c r="A67" t="inlineStr">
        <is>
          <t>VFX-01</t>
        </is>
      </c>
      <c r="B67" t="inlineStr">
        <is>
          <t>complejidadFondo</t>
        </is>
      </c>
      <c r="C67" t="inlineStr">
        <is>
          <t>Plano/simple → S · Con profundidad → M · Muy complejo (muchos elementos) → L</t>
        </is>
      </c>
    </row>
    <row r="68">
      <c r="A68" t="inlineStr">
        <is>
          <t>VFX-02</t>
        </is>
      </c>
      <c r="B68" t="inlineStr">
        <is>
          <t>movimientoCamara</t>
        </is>
      </c>
      <c r="C68" t="inlineStr">
        <is>
          <t>Estática → S · Handheld → M · Dolly/grúa compleja → L</t>
        </is>
      </c>
    </row>
    <row r="69">
      <c r="A69" t="inlineStr">
        <is>
          <t>VFX-02</t>
        </is>
      </c>
      <c r="B69" t="inlineStr">
        <is>
          <t>numElementosCG</t>
        </is>
      </c>
      <c r="C69" t="inlineStr">
        <is>
          <t>≤2 → S · ≤5 → M · ≤10 → L</t>
        </is>
      </c>
    </row>
    <row r="70">
      <c r="A70" t="inlineStr">
        <is>
          <t>VFX-03</t>
        </is>
      </c>
      <c r="B70" t="inlineStr">
        <is>
          <t>tipoSim</t>
        </is>
      </c>
      <c r="C70" t="inlineStr">
        <is>
          <t>Partículas simples → S · Volumétricos (humo/niebla) → M · Fluidos/destrucción RBD → L</t>
        </is>
      </c>
    </row>
    <row r="71">
      <c r="A71" t="inlineStr">
        <is>
          <t>TEX-01</t>
        </is>
      </c>
      <c r="B71" t="inlineStr">
        <is>
          <t>numSets</t>
        </is>
      </c>
      <c r="C71" t="inlineStr">
        <is>
          <t>≤3 → S · ≤10 → M · ≤30 → L</t>
        </is>
      </c>
    </row>
    <row r="72">
      <c r="A72" t="inlineStr">
        <is>
          <t>PIPE-01</t>
        </is>
      </c>
      <c r="B72" t="inlineStr">
        <is>
          <t>numScripts</t>
        </is>
      </c>
      <c r="C72" t="inlineStr">
        <is>
          <t>≤3 → S · ≤8 → M · ≤20 → L</t>
        </is>
      </c>
    </row>
    <row r="73">
      <c r="A73" t="inlineStr">
        <is>
          <t>CON-01</t>
        </is>
      </c>
      <c r="B73" t="inlineStr">
        <is>
          <t>numSesiones</t>
        </is>
      </c>
      <c r="C73" t="inlineStr">
        <is>
          <t>≤3 → S · ≤8 → M · ≤20 → L</t>
        </is>
      </c>
    </row>
    <row r="74">
      <c r="A74" t="inlineStr">
        <is>
          <t>RET-01</t>
        </is>
      </c>
      <c r="B74" t="inlineStr">
        <is>
          <t>plan</t>
        </is>
      </c>
      <c r="C74" t="inlineStr">
        <is>
          <t>Lite (4 h/mes) → S · Standard (8 h/mes) → S · Pro (16 h/mes) → M · Business (40 h/mes) → L · Enterprise (80 h/mes) → XL</t>
        </is>
      </c>
    </row>
    <row r="75">
      <c r="A75" t="inlineStr">
        <is>
          <t>CAD-01</t>
        </is>
      </c>
      <c r="B75" t="inlineStr">
        <is>
          <t>numPiezas</t>
        </is>
      </c>
      <c r="C75" t="inlineStr">
        <is>
          <t>≤15 → S · ≤60 → M · ≤150 → M · ≤300 → L</t>
        </is>
      </c>
    </row>
    <row r="76">
      <c r="A76" t="inlineStr">
        <is>
          <t>CAD-01</t>
        </is>
      </c>
      <c r="B76" t="inlineStr">
        <is>
          <t>complejidad</t>
        </is>
      </c>
      <c r="C76" t="inlineStr">
        <is>
          <t>Prismática (cajas, placas, tubo recto) → S · Freeform moderada (carenas, fillets) → M · Compleja (roscas, cables, orgánico) → L</t>
        </is>
      </c>
    </row>
    <row r="77">
      <c r="A77" t="inlineStr">
        <is>
          <t>CAD-01</t>
        </is>
      </c>
      <c r="B77" t="inlineStr">
        <is>
          <t>calidadCAD</t>
        </is>
      </c>
      <c r="C77" t="inlineStr">
        <is>
          <t>Limpio (export correcto, unidades ok) → S · Con problemas (tolerancias, geometría sucia) → M</t>
        </is>
      </c>
    </row>
    <row r="78">
      <c r="A78" t="inlineStr">
        <is>
          <t>CAD-01</t>
        </is>
      </c>
      <c r="B78" t="inlineStr">
        <is>
          <t>target</t>
        </is>
      </c>
      <c r="C78" t="inlineStr">
        <is>
          <t>Desktop web → S · Móvil exigente → M</t>
        </is>
      </c>
    </row>
    <row r="80">
      <c r="A80" s="1" t="inlineStr">
        <is>
          <t>C. Ejemplo resuelto con FÓRMULAS VIVAS (ver-modelo, "No tengo modelo", nivel 3, 12 piezas, detallado, superficie 3)</t>
        </is>
      </c>
    </row>
    <row r="81">
      <c r="A81" s="14" t="inlineStr">
        <is>
          <t>Paso</t>
        </is>
      </c>
      <c r="B81" s="14" t="inlineStr">
        <is>
          <t>Cálculo</t>
        </is>
      </c>
      <c r="C81" s="14" t="inlineStr">
        <is>
          <t>Resultado (celda viva)</t>
        </is>
      </c>
    </row>
    <row r="82">
      <c r="A82" t="inlineStr">
        <is>
          <t>1. RTA-01.polyCount</t>
        </is>
      </c>
      <c r="B82" t="inlineStr">
        <is>
          <t>nivel 3 → interpolación [4k, 9k, 40k, 120k, 300k] = 40.000</t>
        </is>
      </c>
      <c r="C82" t="inlineStr">
        <is>
          <t>polyCount = 40.000</t>
        </is>
      </c>
    </row>
    <row r="83">
      <c r="A83" t="inlineStr">
        <is>
          <t>2. RTA-01.numPiezas</t>
        </is>
      </c>
      <c r="B83" t="inlineStr">
        <is>
          <t>slider piezas = 12</t>
        </is>
      </c>
      <c r="C83" s="5">
        <f>'Resumen Servicios'!I7</f>
        <v/>
      </c>
    </row>
    <row r="84">
      <c r="A84" t="inlineStr">
        <is>
          <t>3. RTA-01.numTexturas</t>
        </is>
      </c>
      <c r="B84" t="inlineStr">
        <is>
          <t>acabado detallado → 6 sets</t>
        </is>
      </c>
      <c r="C84" s="5">
        <f>'Resumen Servicios'!O4</f>
        <v/>
      </c>
    </row>
    <row r="85">
      <c r="A85" t="inlineStr">
        <is>
          <t>4. RTA-01.tipoSuperficie</t>
        </is>
      </c>
      <c r="B85" t="inlineStr">
        <is>
          <t>superficie 3</t>
        </is>
      </c>
      <c r="C85" s="5">
        <f>'Resumen Servicios'!K7</f>
        <v/>
      </c>
    </row>
    <row r="86">
      <c r="A86" t="inlineStr">
        <is>
          <t>5. Tier RTA-01</t>
        </is>
      </c>
      <c r="B86" t="inlineStr">
        <is>
          <t>máximo de los umbrales (piezas ≤30 → M)</t>
        </is>
      </c>
      <c r="C86" s="5">
        <f>'Resumen Servicios'!P4</f>
        <v/>
      </c>
    </row>
    <row r="87">
      <c r="A87" t="inlineStr">
        <is>
          <t>6. WEB-01</t>
        </is>
      </c>
      <c r="B87" t="inlineStr">
        <is>
          <t>sin hotspots, sin CMS → Desktop, 0 hotspots</t>
        </is>
      </c>
      <c r="C87" s="5">
        <f>MAX(FLOOR(('Resumen Servicios'!K7+'Resumen Servicios'!O4)*0.95,1000),400000)</f>
        <v/>
      </c>
    </row>
    <row r="88">
      <c r="A88" t="inlineStr">
        <is>
          <t>7. WEB-01 S → ver Resumen fila WEB-01</t>
        </is>
      </c>
      <c r="B88" t="inlineStr">
        <is>
          <t>motor computeQuote</t>
        </is>
      </c>
      <c r="C88" s="5">
        <f>CEILING(('Resumen Servicios'!L7+'Resumen Servicios'!P4)*0.95,1000)</f>
        <v/>
      </c>
    </row>
    <row r="89">
      <c r="A89" t="inlineStr">
        <is>
          <t>8. RTA-01 M → ver Resumen fila RTA-01</t>
        </is>
      </c>
      <c r="B89" t="inlineStr">
        <is>
          <t>motor computeQuote</t>
        </is>
      </c>
    </row>
    <row r="90">
      <c r="A90" t="inlineStr">
        <is>
          <t>9. Total con bundle −5% (2 servicios)</t>
        </is>
      </c>
      <c r="B90" t="inlineStr">
        <is>
          <t>(WEB-01 + RTA-01) × 0,95</t>
        </is>
      </c>
    </row>
    <row r="92">
      <c r="A92" s="15" t="inlineStr">
        <is>
          <t>Estas celdas son fórmulas: si editas horas en Catálogo o tarifas en Tarifas, este ejemplo se actualiza solo — igual que la web.</t>
        </is>
      </c>
    </row>
    <row r="93">
      <c r="A93" s="15" t="inlineStr">
        <is>
          <t>Nota bundle: la web aplica −5% automáticamente cuando el presupuesto agrupa 2 servicios (−10% con 3+). No acumula con urgencia.</t>
        </is>
      </c>
    </row>
  </sheetData>
  <mergeCells count="1">
    <mergeCell ref="A3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60" customWidth="1" min="4" max="4"/>
  </cols>
  <sheetData>
    <row r="1">
      <c r="A1" s="1" t="inlineStr">
        <is>
          <t>Precios por hora — Colombia vs Internacional (2025-2026)</t>
        </is>
      </c>
    </row>
    <row r="3">
      <c r="A3" s="4" t="inlineStr">
        <is>
          <t>Perfil</t>
        </is>
      </c>
      <c r="B3" s="4" t="inlineStr">
        <is>
          <t>Colombia COP/h</t>
        </is>
      </c>
      <c r="C3" s="4" t="inlineStr">
        <is>
          <t>Internacional USD/h</t>
        </is>
      </c>
      <c r="D3" s="4" t="inlineStr">
        <is>
          <t>Nota</t>
        </is>
      </c>
    </row>
    <row r="4">
      <c r="A4" t="inlineStr">
        <is>
          <t>Dev web general junior (CO)</t>
        </is>
      </c>
      <c r="B4" t="inlineStr">
        <is>
          <t>60.000–100.000</t>
        </is>
      </c>
      <c r="C4" t="inlineStr">
        <is>
          <t>$15–25</t>
        </is>
      </c>
      <c r="D4" t="inlineStr">
        <is>
          <t>omarhernandezrey.com/blog</t>
        </is>
      </c>
    </row>
    <row r="5">
      <c r="A5" t="inlineStr">
        <is>
          <t>Dev web general mid (CO)</t>
        </is>
      </c>
      <c r="B5" t="inlineStr">
        <is>
          <t>100.000–160.000</t>
        </is>
      </c>
      <c r="C5" t="inlineStr">
        <is>
          <t>$25–40</t>
        </is>
      </c>
      <c r="D5" t="inlineStr">
        <is>
          <t>omarhernandezrey.com/blog</t>
        </is>
      </c>
    </row>
    <row r="6">
      <c r="A6" t="inlineStr">
        <is>
          <t>Dev web senior / clientes intl. (CO)</t>
        </is>
      </c>
      <c r="B6" t="inlineStr">
        <is>
          <t>160.000–240.000+</t>
        </is>
      </c>
      <c r="C6" t="inlineStr">
        <is>
          <t>$40–60+</t>
        </is>
      </c>
      <c r="D6" t="inlineStr">
        <is>
          <t>omarhernandezrey.com/blog</t>
        </is>
      </c>
    </row>
    <row r="7">
      <c r="A7" t="inlineStr">
        <is>
          <t>Three.js/WebGL LatAm (placement)</t>
        </is>
      </c>
      <c r="B7" t="inlineStr">
        <is>
          <t>≈ 80.000–85.000</t>
        </is>
      </c>
      <c r="C7" t="inlineStr">
        <is>
          <t>≈ $20</t>
        </is>
      </c>
      <c r="D7" t="inlineStr">
        <is>
          <t>hireinsouth.com ($3.500/mes)</t>
        </is>
      </c>
    </row>
    <row r="8">
      <c r="A8" t="inlineStr">
        <is>
          <t>Modelador 3D experimentado (CO)</t>
        </is>
      </c>
      <c r="B8" t="inlineStr">
        <is>
          <t>40.000–60.000</t>
        </is>
      </c>
      <c r="C8" t="inlineStr">
        <is>
          <t>≈ $10–15</t>
        </is>
      </c>
      <c r="D8" t="inlineStr">
        <is>
          <t>comunidad CO</t>
        </is>
      </c>
    </row>
    <row r="9">
      <c r="A9" t="inlineStr">
        <is>
          <t>Diseño profesional (tarifario CO 2025)</t>
        </is>
      </c>
      <c r="B9" t="inlineStr">
        <is>
          <t>≈ 90.000</t>
        </is>
      </c>
      <c r="C9" t="inlineStr">
        <is>
          <t>—</t>
        </is>
      </c>
      <c r="D9" t="inlineStr">
        <is>
          <t>disenadorescolombianos.co</t>
        </is>
      </c>
    </row>
    <row r="10">
      <c r="A10" t="inlineStr">
        <is>
          <t>3D artistas mercados internacionales</t>
        </is>
      </c>
      <c r="B10" t="inlineStr">
        <is>
          <t>≈ 2,8M–4M /día</t>
        </is>
      </c>
      <c r="C10" t="inlineStr">
        <is>
          <t>$700–1.000/día</t>
        </is>
      </c>
      <c r="D10" t="inlineStr">
        <is>
          <t>benchmark global</t>
        </is>
      </c>
    </row>
    <row r="11">
      <c r="A11" s="16" t="inlineStr">
        <is>
          <t>Tu RC-WEB actual</t>
        </is>
      </c>
      <c r="B11" s="16" t="inlineStr">
        <is>
          <t>40.000–57.000</t>
        </is>
      </c>
      <c r="C11" s="16" t="inlineStr">
        <is>
          <t>$10–14</t>
        </is>
      </c>
      <c r="D11" s="16" t="inlineStr">
        <is>
          <t>← por debajo del junior: margen de reventa sano</t>
        </is>
      </c>
    </row>
    <row r="12">
      <c r="A12" s="16" t="inlineStr">
        <is>
          <t>Tu RC-ART actual</t>
        </is>
      </c>
      <c r="B12" s="16" t="inlineStr">
        <is>
          <t>30.000–42.000</t>
        </is>
      </c>
      <c r="C12" s="16" t="inlineStr">
        <is>
          <t>$7,5–10,5</t>
        </is>
      </c>
      <c r="D12" s="16" t="inlineStr">
        <is>
          <t>← en línea con modelador local</t>
        </is>
      </c>
    </row>
    <row r="13">
      <c r="A13" s="16" t="inlineStr">
        <is>
          <t>Tu RC-CON actual</t>
        </is>
      </c>
      <c r="B13" s="16" t="inlineStr">
        <is>
          <t>60.000–82.000</t>
        </is>
      </c>
      <c r="C13" s="16" t="inlineStr">
        <is>
          <t>$15–20,5</t>
        </is>
      </c>
      <c r="D13" s="16" t="inlineStr">
        <is>
          <t>← muy por debajo del senior internacional</t>
        </is>
      </c>
    </row>
    <row r="15">
      <c r="A15" s="7" t="inlineStr">
        <is>
          <t>IA (referencia por proyecto, Colombia): chatbot conversacional $6M–16M COP · packs agencia $1,89M–$4,89M · agente empresarial $20.000–80.000 USD (techo internacional).</t>
        </is>
      </c>
    </row>
    <row r="16"/>
    <row r="17">
      <c r="A17" s="15" t="inlineStr">
        <is>
          <t>Fuentes: omarhernandezrey.com · hireinsouth.com · disenadorescolombianos.co · consolidaciondigital.com · mentoracolombia.com · kemenystudio.com</t>
        </is>
      </c>
    </row>
  </sheetData>
  <mergeCells count="1">
    <mergeCell ref="A15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Umbrales EXACTOS que usa la web (serviceVariables.ts) — NO editar salvo cambio de alcance</t>
        </is>
      </c>
    </row>
    <row r="3">
      <c r="A3" s="4" t="inlineStr">
        <is>
          <t>Variable</t>
        </is>
      </c>
      <c r="B3" s="4" t="inlineStr">
        <is>
          <t>tope S</t>
        </is>
      </c>
      <c r="C3" s="4" t="inlineStr">
        <is>
          <t>tope M</t>
        </is>
      </c>
      <c r="D3" s="4" t="inlineStr">
        <is>
          <t>tope L</t>
        </is>
      </c>
      <c r="E3" s="4" t="inlineStr">
        <is>
          <t>tope XL</t>
        </is>
      </c>
    </row>
    <row r="4">
      <c r="A4" t="inlineStr">
        <is>
          <t>RTA-01.polyCount (tris)</t>
        </is>
      </c>
      <c r="B4" s="17" t="n">
        <v>10000</v>
      </c>
      <c r="C4" s="17" t="n">
        <v>50000</v>
      </c>
      <c r="D4" s="17" t="n">
        <v>150000</v>
      </c>
      <c r="E4" s="17" t="n">
        <v>999999999</v>
      </c>
      <c r="F4" s="10" t="inlineStr">
        <is>
          <t>XS · S · M · L · XL</t>
        </is>
      </c>
    </row>
    <row r="5">
      <c r="A5" t="inlineStr">
        <is>
          <t>RTA-01.numPiezas</t>
        </is>
      </c>
      <c r="B5" s="17" t="n">
        <v>8</v>
      </c>
      <c r="C5" s="17" t="n">
        <v>30</v>
      </c>
      <c r="D5" s="17" t="n">
        <v>100</v>
      </c>
      <c r="E5" s="17" t="n">
        <v>999999999</v>
      </c>
      <c r="F5" s="10" t="inlineStr">
        <is>
          <t>XS · S · M · L · XL</t>
        </is>
      </c>
    </row>
    <row r="6">
      <c r="A6" t="inlineStr">
        <is>
          <t>RTA-01.tipoSuperficie</t>
        </is>
      </c>
      <c r="B6" s="17" t="n">
        <v>2</v>
      </c>
      <c r="C6" s="17" t="n">
        <v>3</v>
      </c>
      <c r="D6" s="17" t="n">
        <v>4</v>
      </c>
      <c r="E6" s="17" t="n">
        <v>999999999</v>
      </c>
      <c r="F6" s="10" t="inlineStr">
        <is>
          <t>XS · S · M · L · XL</t>
        </is>
      </c>
    </row>
    <row r="7">
      <c r="A7" t="inlineStr">
        <is>
          <t>CAD-01.numPiezas</t>
        </is>
      </c>
      <c r="B7" s="17" t="n">
        <v>15</v>
      </c>
      <c r="C7" s="17" t="n">
        <v>60</v>
      </c>
      <c r="D7" s="17" t="n">
        <v>150</v>
      </c>
      <c r="E7" s="17" t="n">
        <v>999999999</v>
      </c>
      <c r="F7" s="10" t="inlineStr">
        <is>
          <t>XS · S · M · L · XL</t>
        </is>
      </c>
    </row>
    <row r="8">
      <c r="A8" t="inlineStr">
        <is>
          <t>WEB-01.numHotspots</t>
        </is>
      </c>
      <c r="B8" s="17" t="n">
        <v>5</v>
      </c>
      <c r="C8" s="17" t="n">
        <v>15</v>
      </c>
      <c r="D8" s="17" t="n">
        <v>30</v>
      </c>
      <c r="E8" s="17" t="n">
        <v>999999999</v>
      </c>
      <c r="F8" s="10" t="inlineStr">
        <is>
          <t>XS · S · M · L · XL</t>
        </is>
      </c>
    </row>
    <row r="9">
      <c r="A9" t="inlineStr">
        <is>
          <t>WEB-04.numVariantes</t>
        </is>
      </c>
      <c r="B9" s="17" t="n">
        <v>10</v>
      </c>
      <c r="C9" s="17" t="n">
        <v>25</v>
      </c>
      <c r="D9" s="17" t="n">
        <v>50</v>
      </c>
      <c r="E9" s="17" t="n">
        <v>999999999</v>
      </c>
      <c r="F9" s="10" t="inlineStr">
        <is>
          <t>XS · S · M · L · XL</t>
        </is>
      </c>
    </row>
    <row r="10">
      <c r="A10" t="inlineStr">
        <is>
          <t>WEB-04.numSKUs</t>
        </is>
      </c>
      <c r="B10" s="17" t="n">
        <v>5</v>
      </c>
      <c r="C10" s="17" t="n">
        <v>20</v>
      </c>
      <c r="D10" s="17" t="n">
        <v>100</v>
      </c>
      <c r="E10" s="17" t="n">
        <v>999999999</v>
      </c>
      <c r="F10" s="10" t="inlineStr">
        <is>
          <t>XS · S · M · L · XL</t>
        </is>
      </c>
    </row>
    <row r="11">
      <c r="A11" t="inlineStr">
        <is>
          <t>WEB-05.numSecciones</t>
        </is>
      </c>
      <c r="B11" s="17" t="n">
        <v>4</v>
      </c>
      <c r="C11" s="17" t="n">
        <v>8</v>
      </c>
      <c r="D11" s="17" t="n">
        <v>15</v>
      </c>
      <c r="E11" s="17" t="n">
        <v>999999999</v>
      </c>
      <c r="F11" s="10" t="inlineStr">
        <is>
          <t>XS · S · M · L · XL</t>
        </is>
      </c>
    </row>
    <row r="12">
      <c r="A12" t="inlineStr">
        <is>
          <t>WEB-07.numProductos</t>
        </is>
      </c>
      <c r="B12" s="17" t="n">
        <v>5</v>
      </c>
      <c r="C12" s="17" t="n">
        <v>20</v>
      </c>
      <c r="D12" s="17" t="n">
        <v>100</v>
      </c>
      <c r="E12" s="17" t="n">
        <v>999999999</v>
      </c>
      <c r="F12" s="10" t="inlineStr">
        <is>
          <t>XS · S · M · L · XL</t>
        </is>
      </c>
    </row>
    <row r="14">
      <c r="A14" s="1" t="inlineStr">
        <is>
          <t>Opciones → nivel (selects)</t>
        </is>
      </c>
    </row>
    <row r="15">
      <c r="A15" s="4" t="inlineStr">
        <is>
          <t>Variable</t>
        </is>
      </c>
      <c r="B15" s="4" t="inlineStr">
        <is>
          <t>Opción</t>
        </is>
      </c>
      <c r="C15" s="4" t="inlineStr">
        <is>
          <t>Nivel (2=S, 3=M, 4=L)</t>
        </is>
      </c>
    </row>
    <row r="16">
      <c r="A16" t="inlineStr">
        <is>
          <t>RTA-01.fuente</t>
        </is>
      </c>
      <c r="B16" t="inlineStr">
        <is>
          <t>Ya tengo el modelo 3D</t>
        </is>
      </c>
      <c r="C16" t="n">
        <v>2</v>
      </c>
    </row>
    <row r="17">
      <c r="A17" t="inlineStr">
        <is>
          <t>RTA-01.fuente</t>
        </is>
      </c>
      <c r="B17" t="inlineStr">
        <is>
          <t>Desde CAD (requiere conversión)</t>
        </is>
      </c>
      <c r="C17" t="n">
        <v>3</v>
      </c>
    </row>
    <row r="18">
      <c r="A18" t="inlineStr">
        <is>
          <t>RTA-01.fuente</t>
        </is>
      </c>
      <c r="B18" t="inlineStr">
        <is>
          <t>Desde fotos (requiere modelado)</t>
        </is>
      </c>
      <c r="C18" t="n">
        <v>4</v>
      </c>
    </row>
    <row r="19">
      <c r="A19" t="inlineStr">
        <is>
          <t>WEB-01.target</t>
        </is>
      </c>
      <c r="B19" t="inlineStr">
        <is>
          <t>Desktop</t>
        </is>
      </c>
      <c r="C19" t="n">
        <v>2</v>
      </c>
    </row>
    <row r="20">
      <c r="A20" t="inlineStr">
        <is>
          <t>WEB-01.target</t>
        </is>
      </c>
      <c r="B20" t="inlineStr">
        <is>
          <t>Desktop + móvil</t>
        </is>
      </c>
      <c r="C20" t="n">
        <v>3</v>
      </c>
    </row>
    <row r="21">
      <c r="A21" t="inlineStr">
        <is>
          <t>WEB-01.datos</t>
        </is>
      </c>
      <c r="B21" t="inlineStr">
        <is>
          <t>Fijos (hardcode)</t>
        </is>
      </c>
      <c r="C21" t="n">
        <v>2</v>
      </c>
    </row>
    <row r="22">
      <c r="A22" t="inlineStr">
        <is>
          <t>WEB-01.datos</t>
        </is>
      </c>
      <c r="B22" t="inlineStr">
        <is>
          <t>Dinámicos (CMS/API)</t>
        </is>
      </c>
      <c r="C22" t="n">
        <v>3</v>
      </c>
    </row>
    <row r="23">
      <c r="A23" t="inlineStr">
        <is>
          <t>WEB-04.fuenteDatos</t>
        </is>
      </c>
      <c r="B23" t="inlineStr">
        <is>
          <t>Estáticos (JSON local)</t>
        </is>
      </c>
      <c r="C23" t="n">
        <v>2</v>
      </c>
    </row>
    <row r="24">
      <c r="A24" t="inlineStr">
        <is>
          <t>WEB-04.fuenteDatos</t>
        </is>
      </c>
      <c r="B24" t="inlineStr">
        <is>
          <t>CMS</t>
        </is>
      </c>
      <c r="C24" t="n">
        <v>3</v>
      </c>
    </row>
    <row r="25">
      <c r="A25" t="inlineStr">
        <is>
          <t>WEB-04.fuenteDatos</t>
        </is>
      </c>
      <c r="B25" t="inlineStr">
        <is>
          <t>API externa</t>
        </is>
      </c>
      <c r="C25" t="n">
        <v>4</v>
      </c>
    </row>
    <row r="26">
      <c r="A26" t="inlineStr">
        <is>
          <t>WEB-04.auth</t>
        </is>
      </c>
      <c r="B26" t="inlineStr">
        <is>
          <t>NO</t>
        </is>
      </c>
      <c r="C26" t="n">
        <v>2</v>
      </c>
    </row>
    <row r="27">
      <c r="A27" t="inlineStr">
        <is>
          <t>WEB-04.auth</t>
        </is>
      </c>
      <c r="B27" t="inlineStr">
        <is>
          <t>SI</t>
        </is>
      </c>
      <c r="C27" t="n">
        <v>4</v>
      </c>
    </row>
    <row r="28">
      <c r="A28" t="inlineStr">
        <is>
          <t>WEB-06.mecanica</t>
        </is>
      </c>
      <c r="B28" t="inlineStr">
        <is>
          <t>Simple (quiz, memory, puzzle)</t>
        </is>
      </c>
      <c r="C28" t="n">
        <v>2</v>
      </c>
    </row>
    <row r="29">
      <c r="A29" t="inlineStr">
        <is>
          <t>WEB-06.mecanica</t>
        </is>
      </c>
      <c r="B29" t="inlineStr">
        <is>
          <t>Media (runner, plataforma)</t>
        </is>
      </c>
      <c r="C29" t="n">
        <v>3</v>
      </c>
    </row>
    <row r="30">
      <c r="A30" t="inlineStr">
        <is>
          <t>WEB-06.mecanica</t>
        </is>
      </c>
      <c r="B30" t="inlineStr">
        <is>
          <t>Compleja (multiplayer, física)</t>
        </is>
      </c>
      <c r="C30" t="n">
        <v>4</v>
      </c>
    </row>
    <row r="31">
      <c r="A31" t="inlineStr">
        <is>
          <t>WEB-06.scores</t>
        </is>
      </c>
      <c r="B31" t="inlineStr">
        <is>
          <t>NO</t>
        </is>
      </c>
      <c r="C31" t="n">
        <v>2</v>
      </c>
    </row>
    <row r="32">
      <c r="A32" t="inlineStr">
        <is>
          <t>WEB-06.scores</t>
        </is>
      </c>
      <c r="B32" t="inlineStr">
        <is>
          <t>SI</t>
        </is>
      </c>
      <c r="C3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SIMULADOR WEB — replica exactamente la lógica del cotizador</t>
        </is>
      </c>
    </row>
    <row r="2">
      <c r="A2" s="18" t="inlineStr">
        <is>
          <t>Edita solo las celdas AMARILLAS. Todo lo demás se recalcula conectado a Tarifas y Catálogo.</t>
        </is>
      </c>
    </row>
    <row r="4">
      <c r="A4" s="19" t="inlineStr">
        <is>
          <t>ENTRADAS — el wizard</t>
        </is>
      </c>
    </row>
    <row r="5">
      <c r="A5" s="20" t="inlineStr">
        <is>
          <t>Rama (¿qué quieres lograr?)</t>
        </is>
      </c>
      <c r="B5" s="21" t="inlineStr">
        <is>
          <t>ver-modelo</t>
        </is>
      </c>
      <c r="C5" s="22" t="inlineStr">
        <is>
          <t>web-app → WEB-04/06/07 · scrollytelling → WEB-05 · interactivo → WEB-01/04 · ver-modelo → WEB-01</t>
        </is>
      </c>
    </row>
    <row r="6">
      <c r="A6" s="20" t="inlineStr">
        <is>
          <t>Tipo de interactividad (solo interactivo)</t>
        </is>
      </c>
      <c r="B6" s="21" t="inlineStr">
        <is>
          <t>rotar</t>
        </is>
      </c>
      <c r="C6" s="22" t="inlineStr">
        <is>
          <t>configurar → WEB-04 · hotspots → visor con hotspots</t>
        </is>
      </c>
    </row>
    <row r="7">
      <c r="A7" s="20" t="inlineStr">
        <is>
          <t>Tipo de app (solo web-app)</t>
        </is>
      </c>
      <c r="B7" s="21" t="inlineStr">
        <is>
          <t>configurador</t>
        </is>
      </c>
      <c r="C7" s="22" t="inlineStr">
        <is>
          <t>catalogo → WEB-07 · juego → WEB-06 · resto → WEB-04</t>
        </is>
      </c>
    </row>
    <row r="8">
      <c r="A8" s="20" t="inlineStr">
        <is>
          <t>Plataforma (solo interactivo)</t>
        </is>
      </c>
      <c r="B8" s="21" t="inlineStr">
        <is>
          <t>mi-web</t>
        </is>
      </c>
      <c r="C8" s="22" t="inlineStr">
        <is>
          <t>app → WEB-04 · feria/móvil → exige móvil</t>
        </is>
      </c>
    </row>
    <row r="9">
      <c r="A9" s="20" t="inlineStr">
        <is>
          <t>¿Modelo 3D?</t>
        </is>
      </c>
      <c r="B9" s="21" t="inlineStr">
        <is>
          <t>si-gltf</t>
        </is>
      </c>
      <c r="C9" s="22" t="inlineStr">
        <is>
          <t>no-crear → CREACIÓN (RTA-01) · si-step → CONVERSIÓN (CAD-01) · si-scan → PREPARACIÓN (RTA-01) · si-gltf/si-otro → sin extra</t>
        </is>
      </c>
    </row>
    <row r="10">
      <c r="A10" s="20" t="inlineStr">
        <is>
          <t>Nivel de detalle (1–5 continuo)</t>
        </is>
      </c>
      <c r="B10" s="21" t="n">
        <v>3</v>
      </c>
      <c r="C10" s="22" t="inlineStr">
        <is>
          <t>RTA-01.polyCount interpolado: 1→4k · 2→9k · 3→40k · 4→120k · 5→300k (tris)</t>
        </is>
      </c>
    </row>
    <row r="11">
      <c r="A11" s="20" t="inlineStr">
        <is>
          <t>Superficie (1–5 continuo)</t>
        </is>
      </c>
      <c r="B11" s="21" t="n">
        <v>3</v>
      </c>
      <c r="C11" s="22" t="inlineStr">
        <is>
          <t>RTA-01.tipoSuperficie: ≤2 S · 3 M · 4 L · 5 XL (+discovery)</t>
        </is>
      </c>
    </row>
    <row r="12">
      <c r="A12" s="20" t="inlineStr">
        <is>
          <t>Cantidad de piezas (1–50)</t>
        </is>
      </c>
      <c r="B12" s="21" t="n">
        <v>12</v>
      </c>
      <c r="C12" s="22" t="inlineStr">
        <is>
          <t>RTA-01/CAD-01.numPiezas: ≤8 S · ≤30 M · ≤100 L</t>
        </is>
      </c>
    </row>
    <row r="13">
      <c r="A13" s="20" t="inlineStr">
        <is>
          <t>Acabados</t>
        </is>
      </c>
      <c r="B13" s="21" t="inlineStr">
        <is>
          <t>detallado</t>
        </is>
      </c>
      <c r="C13" s="22" t="inlineStr">
        <is>
          <t>RTA-01.numTexturas: simple 1 · variado 3 · detallado 6</t>
        </is>
      </c>
    </row>
    <row r="14">
      <c r="A14" s="20" t="inlineStr">
        <is>
          <t>Interfaz del visor (avanzado)</t>
        </is>
      </c>
      <c r="B14" s="21" t="inlineStr">
        <is>
          <t>limpio</t>
        </is>
      </c>
      <c r="C14" s="22" t="inlineStr">
        <is>
          <t>hotspots → WEB-01.numHotspots = 8 (sube a M)</t>
        </is>
      </c>
    </row>
    <row r="15">
      <c r="A15" s="20" t="inlineStr">
        <is>
          <t>Dónde se muestra</t>
        </is>
      </c>
      <c r="B15" s="21" t="inlineStr">
        <is>
          <t>mi-web</t>
        </is>
      </c>
      <c r="C15" s="22" t="inlineStr">
        <is>
          <t>feria/móvil/landing → Desktop + móvil (sube a M)</t>
        </is>
      </c>
    </row>
    <row r="16">
      <c r="A16" s="20" t="inlineStr">
        <is>
          <t>Escenas (solo scrollytelling, 1–15)</t>
        </is>
      </c>
      <c r="B16" s="21" t="n">
        <v>8</v>
      </c>
      <c r="C16" s="22" t="inlineStr">
        <is>
          <t>WEB-05.numSecciones: ≤4 S · ≤8 M · ≤15 L</t>
        </is>
      </c>
    </row>
    <row r="17">
      <c r="A17" s="20" t="inlineStr">
        <is>
          <t>Usuarios de la app (avanzado)</t>
        </is>
      </c>
      <c r="B17" s="21" t="inlineStr">
        <is>
          <t>publico</t>
        </is>
      </c>
      <c r="C17" s="22" t="inlineStr">
        <is>
          <t>equipo-interno → WEB-04.auth = SI (sube a L)</t>
        </is>
      </c>
    </row>
    <row r="18">
      <c r="A18" s="20" t="inlineStr">
        <is>
          <t>Origen de datos (avanzado)</t>
        </is>
      </c>
      <c r="B18" s="21" t="inlineStr">
        <is>
          <t>estaticos</t>
        </is>
      </c>
      <c r="C18" s="22" t="inlineStr">
        <is>
          <t>cms → tier M · api → tier L (WEB-04)</t>
        </is>
      </c>
    </row>
    <row r="21">
      <c r="A21" s="19" t="inlineStr">
        <is>
          <t>SUPUESTOS ASUMIDOS (no se preguntan — ajústalos si lo necesitas)</t>
        </is>
      </c>
    </row>
    <row r="22">
      <c r="A22" s="20" t="inlineStr">
        <is>
          <t>WEB-04 · numSKUs (¿para cuántos productos?)</t>
        </is>
      </c>
      <c r="B22" s="21" t="n">
        <v>1</v>
      </c>
      <c r="C22" s="22" t="inlineStr">
        <is>
          <t>≤5 S · ≤20 M · ≤100 L</t>
        </is>
      </c>
    </row>
    <row r="23">
      <c r="A23" s="20" t="inlineStr">
        <is>
          <t>WEB-06 · scores (leaderboard)</t>
        </is>
      </c>
      <c r="B23" s="21" t="inlineStr">
        <is>
          <t>NO</t>
        </is>
      </c>
      <c r="C23" s="22" t="inlineStr">
        <is>
          <t>sube a M</t>
        </is>
      </c>
    </row>
    <row r="24">
      <c r="A24" s="20" t="inlineStr">
        <is>
          <t>WEB-06 · mecánica</t>
        </is>
      </c>
      <c r="B24" s="21" t="inlineStr">
        <is>
          <t>Media (runner, plataforma)</t>
        </is>
      </c>
      <c r="C24" s="22" t="inlineStr">
        <is>
          <t>Simple S · Media M · Compleja L</t>
        </is>
      </c>
    </row>
    <row r="27">
      <c r="A27" s="19" t="inlineStr">
        <is>
          <t>DERIVADOS — calculados por la lógica de la web</t>
        </is>
      </c>
    </row>
    <row r="28">
      <c r="A28" s="20" t="inlineStr">
        <is>
          <t>Servicio principal</t>
        </is>
      </c>
      <c r="B28" s="23">
        <f>IF($B$4="web-app",IF($B$7="catalogo","WEB-07",IF($B$7="juego","WEB-06","WEB-04")),IF($B$4="scrollytelling","WEB-05",IF($B$4="interactivo",IF(OR($B$6="configurar",$B$8="app"),"WEB-04","WEB-01"),"WEB-01")))</f>
        <v/>
      </c>
      <c r="C28" s="22" t="inlineStr">
        <is>
          <t>Así enruta el wizard según rama y respuestas</t>
        </is>
      </c>
    </row>
    <row r="29">
      <c r="A29" s="20" t="inlineStr">
        <is>
          <t>¿Suma CREACIÓN del modelo? (RTA-01)</t>
        </is>
      </c>
      <c r="B29" s="23">
        <f>IF($B$9="no-crear","SI","NO")</f>
        <v/>
      </c>
    </row>
    <row r="30">
      <c r="A30" s="20" t="inlineStr">
        <is>
          <t>¿Suma CONVERSIÓN CAD? (CAD-01)</t>
        </is>
      </c>
      <c r="B30" s="23">
        <f>IF($B$9="si-step","SI","NO")</f>
        <v/>
      </c>
      <c r="C30" s="22" t="inlineStr">
        <is>
          <t>CAD limpio → conversión; escaneo/fotos → preparación (también RTA-01)</t>
        </is>
      </c>
    </row>
    <row r="31">
      <c r="A31" s="20" t="inlineStr">
        <is>
          <t>¿Suma PREPARACIÓN de modelo? (RTA-01)</t>
        </is>
      </c>
      <c r="B31" s="23">
        <f>IF($B$9="si-scan","SI","NO")</f>
        <v/>
      </c>
    </row>
    <row r="32">
      <c r="A32" s="20" t="inlineStr">
        <is>
          <t>RTA-01 · polyCount</t>
        </is>
      </c>
      <c r="B32" s="24">
        <f>ROUND((LOOKUP($B$10,{1,2,3,4,5},{4000,9000,40000,120000,300000})+(LOOKUP($B$10+0.5,{1,2,3,4,5},{4000,9000,40000,120000,300000})-LOOKUP($B$10,{1,2,3,4,5},{4000,9000,40000,120000,300000}))*MOD($B$10,1))/500)*500</f>
        <v/>
      </c>
      <c r="C32" s="22" t="inlineStr">
        <is>
          <t>Interpolación continua entre etapas, redondeada a 500</t>
        </is>
      </c>
    </row>
    <row r="33">
      <c r="A33" s="20" t="inlineStr">
        <is>
          <t>RTA-01 · numPiezas</t>
        </is>
      </c>
      <c r="B33" s="24">
        <f>$B$12</f>
        <v/>
      </c>
    </row>
    <row r="34">
      <c r="A34" s="20" t="inlineStr">
        <is>
          <t>RTA-01 · numTexturas</t>
        </is>
      </c>
      <c r="B34" s="24">
        <f>IF($B$13="simple",1,IF($B$13="variado",3,6))</f>
        <v/>
      </c>
    </row>
    <row r="35">
      <c r="A35" s="20" t="inlineStr">
        <is>
          <t>RTA-01 · tipoSuperficie</t>
        </is>
      </c>
      <c r="B35" s="25">
        <f>ROUND($B$11,1)</f>
        <v/>
      </c>
    </row>
    <row r="36">
      <c r="A36" s="20" t="inlineStr">
        <is>
          <t>CAD-01 · numPiezas</t>
        </is>
      </c>
      <c r="B36" s="24">
        <f>$B$12</f>
        <v/>
      </c>
    </row>
    <row r="37">
      <c r="A37" s="20" t="inlineStr">
        <is>
          <t>WEB-01 · numHotspots</t>
        </is>
      </c>
      <c r="B37" s="24">
        <f>IF($B$14="hotspots",8,0)</f>
        <v/>
      </c>
    </row>
    <row r="38">
      <c r="A38" s="20" t="inlineStr">
        <is>
          <t>WEB-01 · target</t>
        </is>
      </c>
      <c r="B38" s="23">
        <f>IF(OR($B$8="feria",$B$8="movil",$B$8="landing"),"Desktop + móvil","Desktop")</f>
        <v/>
      </c>
    </row>
    <row r="39">
      <c r="A39" s="20" t="inlineStr">
        <is>
          <t>WEB-05 · numSecciones</t>
        </is>
      </c>
      <c r="B39" s="24">
        <f>$B$16</f>
        <v/>
      </c>
    </row>
    <row r="40">
      <c r="A40" s="20" t="inlineStr">
        <is>
          <t>WEB-04 · numVariantes</t>
        </is>
      </c>
      <c r="B40" s="24">
        <f>$B$15</f>
        <v/>
      </c>
    </row>
    <row r="41">
      <c r="A41" s="20" t="inlineStr">
        <is>
          <t>WEB-04 · auth</t>
        </is>
      </c>
      <c r="B41" s="23">
        <f>IF($B$17="equipo-interno","SI","NO")</f>
        <v/>
      </c>
    </row>
    <row r="42">
      <c r="A42" s="20" t="inlineStr">
        <is>
          <t>WEB-04 · fuenteDatos</t>
        </is>
      </c>
      <c r="B42" s="23">
        <f>IF($B$18="cms","CMS",IF($B$18="api","API externa","Estáticos (JSON local)"))</f>
        <v/>
      </c>
    </row>
    <row r="43">
      <c r="A43" s="20" t="inlineStr">
        <is>
          <t>WEB-07 · numProductos</t>
        </is>
      </c>
      <c r="B43" s="24" t="n">
        <v>10</v>
      </c>
      <c r="C43" s="22" t="inlineStr">
        <is>
          <t>Asumido: 10 (editable)</t>
        </is>
      </c>
    </row>
    <row r="47">
      <c r="A47" s="19" t="inlineStr">
        <is>
          <t>NIVEL (tier) derivado por servicio — máx entre umbrales (igual que derivarTier)</t>
        </is>
      </c>
    </row>
    <row r="49">
      <c r="A49" s="20" t="inlineStr">
        <is>
          <t>Nivel WEB-01</t>
        </is>
      </c>
      <c r="B49" s="23">
        <f>MAX(IFERROR(MATCH($B$37,Mapeo!$B$8:$E$8,1),0)+1,2)</f>
        <v/>
      </c>
      <c r="C49" s="26">
        <f>INDEX({"XS","S","M","L","XL"},B49)</f>
        <v/>
      </c>
      <c r="D49" s="10" t="inlineStr">
        <is>
          <t>← nivel idx / nombre</t>
        </is>
      </c>
    </row>
    <row r="50">
      <c r="A50" s="20" t="inlineStr">
        <is>
          <t>Nivel WEB-04</t>
        </is>
      </c>
      <c r="B50" s="23">
        <f>MAX(IFERROR(MATCH($B$40,Mapeo!$B$9:$E$9,1),0)+1,IFERROR(MATCH($B$22,Mapeo!$B$10:$E$10,1),0)+1)</f>
        <v/>
      </c>
      <c r="C50" s="26">
        <f>INDEX({"XS","S","M","L","XL"},B50)</f>
        <v/>
      </c>
      <c r="D50" s="10" t="inlineStr">
        <is>
          <t>← nivel idx / nombre</t>
        </is>
      </c>
    </row>
    <row r="51">
      <c r="A51" s="20" t="inlineStr">
        <is>
          <t>Nivel WEB-05</t>
        </is>
      </c>
      <c r="B51" s="23">
        <f>MAX(IFERROR(MATCH($B$39,Mapeo!$B$11:$E$11,1),0)+1)</f>
        <v/>
      </c>
      <c r="C51" s="26">
        <f>INDEX({"XS","S","M","L","XL"},B51)</f>
        <v/>
      </c>
      <c r="D51" s="10" t="inlineStr">
        <is>
          <t>← nivel idx / nombre</t>
        </is>
      </c>
    </row>
    <row r="52">
      <c r="A52" s="20" t="inlineStr">
        <is>
          <t>Nivel WEB-06</t>
        </is>
      </c>
      <c r="B52" s="23">
        <f>MAX()</f>
        <v/>
      </c>
      <c r="C52" s="26">
        <f>INDEX({"XS","S","M","L","XL"},B52)</f>
        <v/>
      </c>
      <c r="D52" s="10" t="inlineStr">
        <is>
          <t>← nivel idx / nombre</t>
        </is>
      </c>
    </row>
    <row r="53">
      <c r="A53" s="20" t="inlineStr">
        <is>
          <t>Nivel WEB-07</t>
        </is>
      </c>
      <c r="B53" s="23">
        <f>MAX(IFERROR(MATCH($B$43,Mapeo!$B$12:$E$12,1),0)+1)</f>
        <v/>
      </c>
      <c r="C53" s="26">
        <f>INDEX({"XS","S","M","L","XL"},B53)</f>
        <v/>
      </c>
      <c r="D53" s="10" t="inlineStr">
        <is>
          <t>← nivel idx / nombre</t>
        </is>
      </c>
    </row>
    <row r="54">
      <c r="A54" s="20" t="inlineStr">
        <is>
          <t>Nivel RTA-01</t>
        </is>
      </c>
      <c r="B54" s="23">
        <f>MAX(IFERROR(MATCH($B$33,Mapeo!$B$5:$E$5,1),0)+1,IFERROR(MATCH($B$35,Mapeo!$B$6:$E$6,1),0)+1)</f>
        <v/>
      </c>
      <c r="C54" s="26">
        <f>INDEX({"XS","S","M","L","XL"},B54)</f>
        <v/>
      </c>
      <c r="D54" s="10" t="inlineStr">
        <is>
          <t>← nivel idx / nombre</t>
        </is>
      </c>
    </row>
    <row r="55">
      <c r="A55" s="20" t="inlineStr">
        <is>
          <t>Nivel CAD-01</t>
        </is>
      </c>
      <c r="B55" s="23">
        <f>MAX(IFERROR(MATCH($B$36,Mapeo!$B$7:$E$7,1),0)+1)</f>
        <v/>
      </c>
      <c r="C55" s="26">
        <f>INDEX({"XS","S","M","L","XL"},B55)</f>
        <v/>
      </c>
      <c r="D55" s="10" t="inlineStr">
        <is>
          <t>← nivel idx / nombre</t>
        </is>
      </c>
    </row>
    <row r="60">
      <c r="A60" s="19" t="inlineStr">
        <is>
          <t>COTIZACIÓN — horas y COP desde Resumen (idéntico al panel de la web)</t>
        </is>
      </c>
    </row>
    <row r="61">
      <c r="A61" s="4" t="inlineStr">
        <is>
          <t>Concepto</t>
        </is>
      </c>
      <c r="B61" s="4" t="inlineStr">
        <is>
          <t>Nivel</t>
        </is>
      </c>
      <c r="C61" s="4" t="inlineStr">
        <is>
          <t>h min</t>
        </is>
      </c>
      <c r="D61" s="4" t="inlineStr">
        <is>
          <t>h max</t>
        </is>
      </c>
      <c r="E61" s="4" t="inlineStr">
        <is>
          <t>COP min</t>
        </is>
      </c>
      <c r="F61" s="4" t="inlineStr">
        <is>
          <t>COP max</t>
        </is>
      </c>
    </row>
    <row r="62">
      <c r="A62" s="6" t="inlineStr">
        <is>
          <t>Servicio principal</t>
        </is>
      </c>
      <c r="B62" s="6">
        <f>$B$28</f>
        <v/>
      </c>
      <c r="C62" s="6">
        <f>INDEX($B$49:$B$55,MATCH($B$28,$A$49:$A$55,0))</f>
        <v/>
      </c>
      <c r="D62" s="11">
        <f>INDEX('Resumen Servicios'!$F$2:$Y$29,MATCH($B$28,'Resumen Servicios'!$A:$A,0),($C62-1)*4+1)</f>
        <v/>
      </c>
      <c r="E62" s="11">
        <f>INDEX('Resumen Servicios'!$F$2:$Y$29,MATCH($B$28,'Resumen Servicios'!$A:$A,0),($C62-1)*4+2)</f>
        <v/>
      </c>
      <c r="F62" s="5">
        <f>INDEX('Resumen Servicios'!$AA$2:$AT$29,MATCH($B$28,'Resumen Servicios'!$A:$A,0),($C62-1)*4+1)</f>
        <v/>
      </c>
      <c r="G62" s="5">
        <f>INDEX('Resumen Servicios'!$AA$2:$AT$29,MATCH($B$28,'Resumen Servicios'!$A:$A,0),($C62-1)*4+2)</f>
        <v/>
      </c>
    </row>
    <row r="63">
      <c r="A63" t="inlineStr">
        <is>
          <t>Extra: creación del modelo (RTA-01)</t>
        </is>
      </c>
      <c r="B63" s="27">
        <f>IF($B$29="SI","SI","NO")</f>
        <v/>
      </c>
      <c r="C63" s="27">
        <f>IF($B63="SI",INDEX($C$49:$C$55,MATCH("RTA-01",$A$49:$A$55,0)),"—")</f>
        <v/>
      </c>
      <c r="D63" s="11">
        <f>IF($B63="SI",INDEX('Resumen Servicios'!$F$2:$Y$29,MATCH("RTA-01",'Resumen Servicios'!$A:$A,0),($C63-1)*4+1),0)</f>
        <v/>
      </c>
      <c r="E63" s="11">
        <f>IF($B63="SI",INDEX('Resumen Servicios'!$F$2:$Y$29,MATCH("RTA-01",'Resumen Servicios'!$A:$A,0),($C63-1)*4+2),0)</f>
        <v/>
      </c>
      <c r="F63" s="5">
        <f>IF($B63="SI",INDEX('Resumen Servicios'!$K$2:$R$29,MATCH("RTA-01",'Resumen Servicios'!$A:$A,0),($C63-1)*4+1),0)</f>
        <v/>
      </c>
      <c r="G63" s="5">
        <f>IF($B63="SI",INDEX('Resumen Servicios'!$L$2:$S$29,MATCH("RTA-01",'Resumen Servicios'!$A:$A,0),($C63-1)*4+2),0)</f>
        <v/>
      </c>
    </row>
    <row r="64">
      <c r="A64" t="inlineStr">
        <is>
          <t>Extra: conversión CAD (CAD-01)</t>
        </is>
      </c>
      <c r="B64" s="27">
        <f>IF($B$30="SI","SI","NO")</f>
        <v/>
      </c>
      <c r="C64" s="27">
        <f>IF($B64="SI",INDEX($C$49:$C$55,MATCH("CAD-01",$A$49:$A$55,0)),"—")</f>
        <v/>
      </c>
      <c r="D64" s="11">
        <f>IF($B64="SI",INDEX('Resumen Servicios'!$F$2:$Y$29,MATCH("CAD-01",'Resumen Servicios'!$A:$A,0),($C64-1)*4+1),0)</f>
        <v/>
      </c>
      <c r="E64" s="11">
        <f>IF($B64="SI",INDEX('Resumen Servicios'!$F$2:$Y$29,MATCH("CAD-01",'Resumen Servicios'!$A:$A,0),($C64-1)*4+2),0)</f>
        <v/>
      </c>
      <c r="F64" s="5">
        <f>IF($B64="SI",INDEX('Resumen Servicios'!$K$2:$R$29,MATCH("CAD-01",'Resumen Servicios'!$A:$A,0),($C64-1)*4+1),0)</f>
        <v/>
      </c>
      <c r="G64" s="5">
        <f>IF($B64="SI",INDEX('Resumen Servicios'!$L$2:$S$29,MATCH("CAD-01",'Resumen Servicios'!$A:$A,0),($C64-1)*4+2),0)</f>
        <v/>
      </c>
    </row>
    <row r="65">
      <c r="A65" t="inlineStr">
        <is>
          <t>Extra: preparación de modelo (RTA-01)</t>
        </is>
      </c>
      <c r="B65" s="27">
        <f>IF($B$31="SI","SI","NO")</f>
        <v/>
      </c>
      <c r="C65" s="27">
        <f>IF($B65="SI",INDEX($C$49:$C$55,MATCH("RTA-01",$A$49:$A$55,0)),"—")</f>
        <v/>
      </c>
      <c r="D65" s="11">
        <f>IF($B65="SI",INDEX('Resumen Servicios'!$F$2:$Y$29,MATCH("RTA-01",'Resumen Servicios'!$A:$A,0),($C65-1)*4+1),0)</f>
        <v/>
      </c>
      <c r="E65" s="11">
        <f>IF($B65="SI",INDEX('Resumen Servicios'!$F$2:$Y$29,MATCH("RTA-01",'Resumen Servicios'!$A:$A,0),($C65-1)*4+2),0)</f>
        <v/>
      </c>
      <c r="F65" s="5">
        <f>IF($B65="SI",INDEX('Resumen Servicios'!$K$2:$R$29,MATCH("RTA-01",'Resumen Servicios'!$A:$A,0),($C65-1)*4+1),0)</f>
        <v/>
      </c>
      <c r="G65" s="5">
        <f>IF($B65="SI",INDEX('Resumen Servicios'!$L$2:$S$29,MATCH("RTA-01",'Resumen Servicios'!$A:$A,0),($C65-1)*4+2),0)</f>
        <v/>
      </c>
    </row>
    <row r="67">
      <c r="A67" s="6" t="inlineStr">
        <is>
          <t>Subtotal (suma de lo de arriba)</t>
        </is>
      </c>
      <c r="D67" s="28">
        <f>SUM(D62:D66)</f>
        <v/>
      </c>
      <c r="E67" s="28">
        <f>SUM(E62:E66)</f>
        <v/>
      </c>
      <c r="F67" s="29">
        <f>SUM(F62:F66)</f>
        <v/>
      </c>
      <c r="G67" s="29">
        <f>SUM(G62:G66)</f>
        <v/>
      </c>
    </row>
    <row r="68">
      <c r="A68" s="20" t="inlineStr">
        <is>
          <t>Descuento de lanzamiento (SI/NO)</t>
        </is>
      </c>
      <c r="B68" s="21" t="inlineStr">
        <is>
          <t>SI</t>
        </is>
      </c>
      <c r="C68" s="22" t="inlineStr">
        <is>
          <t>−25% primer proyecto</t>
        </is>
      </c>
    </row>
    <row r="69">
      <c r="A69" s="20" t="inlineStr">
        <is>
          <t>Urgencia</t>
        </is>
      </c>
      <c r="B69" s="21" t="inlineStr">
        <is>
          <t>normal</t>
        </is>
      </c>
      <c r="C69" s="22" t="inlineStr">
        <is>
          <t>pronto +30% · critico +50% (anula bundle)</t>
        </is>
      </c>
    </row>
    <row r="70">
      <c r="A70" s="27" t="inlineStr">
        <is>
          <t>Factor por servicio (lanzamiento × urgencia)</t>
        </is>
      </c>
      <c r="B70" s="30">
        <f>(1-IF($B$68="SI",0.25,0))*(1+IF($B$69="pronto",0.3,IF($B$69="critico",0.5,0)))</f>
        <v/>
      </c>
    </row>
    <row r="71">
      <c r="A71" s="27" t="inlineStr">
        <is>
          <t>Servicios agrupados</t>
        </is>
      </c>
      <c r="B71" s="31">
        <f>1+COUNTIF($B$65:$B$67,"SI")</f>
        <v/>
      </c>
    </row>
    <row r="72">
      <c r="A72" s="27" t="inlineStr">
        <is>
          <t>Bundle % (no acumula con urgencia)</t>
        </is>
      </c>
      <c r="B72" s="32">
        <f>IF($B$69&lt;&gt;"normal",0,IF($B$71=2,5,IF($B$71&gt;=3,10,0)))</f>
        <v/>
      </c>
    </row>
    <row r="74">
      <c r="A74" s="2" t="inlineStr">
        <is>
          <t>TOTAL PROYECTO (COP)</t>
        </is>
      </c>
      <c r="B74" s="33">
        <f>MAX(FLOOR(SUMPRODUCT($F$62:$F$66)*$B$70,1000),400000)*(1-$B$72/100)</f>
        <v/>
      </c>
    </row>
    <row r="75">
      <c r="A75" s="6" t="inlineStr">
        <is>
          <t>COP máx</t>
        </is>
      </c>
      <c r="B75" s="33">
        <f>MAX(CEILING(SUMPRODUCT($G$62:$G$66)*$B$70,1000),MAX(FLOOR(SUMPRODUCT($F$62:$F$66)*$B$70,1000),400000))*(1-$B$72/100)</f>
        <v/>
      </c>
    </row>
    <row r="77">
      <c r="A77" s="34" t="inlineStr">
        <is>
          <t>Los extras (creación/conversión) heredan el mismo factor de lanzamiento/urgencia que la web aplica a cada cotización.</t>
        </is>
      </c>
    </row>
    <row r="78">
      <c r="A78" s="18" t="inlineStr">
        <is>
          <t>Todo lo azul es calculado; nada se ingresa a mano. Si un número no cuadra: revisa Catálogo (horas) o Tarifas (tarifa/hora).</t>
        </is>
      </c>
    </row>
  </sheetData>
  <dataValidations count="14">
    <dataValidation sqref="B5" showDropDown="0" showInputMessage="0" showErrorMessage="0" allowBlank="0" type="list">
      <formula1>"ver-modelo,interactivo,scrollytelling,web-app"</formula1>
    </dataValidation>
    <dataValidation sqref="B6" showDropDown="0" showInputMessage="0" showErrorMessage="0" allowBlank="0" type="list">
      <formula1>"rotar,hotspots,configurar,desarmar"</formula1>
    </dataValidation>
    <dataValidation sqref="B7" showDropDown="0" showInputMessage="0" showErrorMessage="0" allowBlank="0" type="list">
      <formula1>"configurador,catalogo,herramienta,juego"</formula1>
    </dataValidation>
    <dataValidation sqref="B8" showDropDown="0" showInputMessage="0" showErrorMessage="0" allowBlank="0" type="list">
      <formula1>"mi-web,landing,feria,app"</formula1>
    </dataValidation>
    <dataValidation sqref="B9" showDropDown="0" showInputMessage="0" showErrorMessage="0" allowBlank="0" type="list">
      <formula1>"si-gltf,si-otro,si-step,si-scan,no-crear"</formula1>
    </dataValidation>
    <dataValidation sqref="B13" showDropDown="0" showInputMessage="0" showErrorMessage="0" allowBlank="0" type="list">
      <formula1>"simple,variado,detallado"</formula1>
    </dataValidation>
    <dataValidation sqref="B14" showDropDown="0" showInputMessage="0" showErrorMessage="0" allowBlank="0" type="list">
      <formula1>"limpio,controles,hotspots"</formula1>
    </dataValidation>
    <dataValidation sqref="B15" showDropDown="0" showInputMessage="0" showErrorMessage="0" allowBlank="0" type="list">
      <formula1>"mi-web,landing,feria,movil"</formula1>
    </dataValidation>
    <dataValidation sqref="B17" showDropDown="0" showInputMessage="0" showErrorMessage="0" allowBlank="0" type="list">
      <formula1>"publico,clientes,equipo-interno"</formula1>
    </dataValidation>
    <dataValidation sqref="B18" showDropDown="0" showInputMessage="0" showErrorMessage="0" allowBlank="0" type="list">
      <formula1>"estaticos,cms,api"</formula1>
    </dataValidation>
    <dataValidation sqref="B23" showDropDown="0" showInputMessage="0" showErrorMessage="0" allowBlank="0" type="list">
      <formula1>"NO,SI"</formula1>
    </dataValidation>
    <dataValidation sqref="B24" showDropDown="0" showInputMessage="0" showErrorMessage="0" allowBlank="0" type="list">
      <formula1>"Simple (quiz, memory, puzzle),Media (runner, plataforma),Compleja (multiplayer, física)"</formula1>
    </dataValidation>
    <dataValidation sqref="B68" showDropDown="0" showInputMessage="0" showErrorMessage="0" allowBlank="0" type="list">
      <formula1>"SI,NO"</formula1>
    </dataValidation>
    <dataValidation sqref="B69" showDropDown="0" showInputMessage="0" showErrorMessage="0" allowBlank="0" type="list">
      <formula1>"normal,pronto,critico"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2026-08-31T22:23:58Z</dcterms:created>
  <dcterms:modified xmlns:dcterms="http://purl.org/dc/terms/" xmlns:xsi="http://www.w3.org/2001/XMLSchema-instance" xsi:type="dcterms:W3CDTF">2026-08-31T22:23:59Z</dcterms:modified>
</cp:coreProperties>
</file>