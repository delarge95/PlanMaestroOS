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fab28d834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241680706e741e2"/>
    <x:sheet xmlns:r="http://schemas.openxmlformats.org/officeDocument/2006/relationships" name="Applications" sheetId="2" r:id="Rcdef0847b4204e4d"/>
    <x:sheet xmlns:r="http://schemas.openxmlformats.org/officeDocument/2006/relationships" name="Companies" sheetId="3" r:id="R7d553d93d6344ffa"/>
    <x:sheet xmlns:r="http://schemas.openxmlformats.org/officeDocument/2006/relationships" name="Contacts" sheetId="4" r:id="R734a73a57ebd4e1a"/>
    <x:sheet xmlns:r="http://schemas.openxmlformats.org/officeDocument/2006/relationships" name="Interviews" sheetId="5" r:id="Rf2932460e88843be"/>
    <x:sheet xmlns:r="http://schemas.openxmlformats.org/officeDocument/2006/relationships" name="Offers" sheetId="6" r:id="R0cae54b05f0b4230"/>
    <x:sheet xmlns:r="http://schemas.openxmlformats.org/officeDocument/2006/relationships" name="Weekly Metrics" sheetId="7" r:id="R219e58e11de548bb"/>
    <x:sheet xmlns:r="http://schemas.openxmlformats.org/officeDocument/2006/relationships" name="Skill Sprint" sheetId="8" r:id="R8b3b08c016204d2d"/>
    <x:sheet xmlns:r="http://schemas.openxmlformats.org/officeDocument/2006/relationships" name="Content Assets" sheetId="9" r:id="R437943ef7cb54c91"/>
    <x:sheet xmlns:r="http://schemas.openxmlformats.org/officeDocument/2006/relationships" name="Settings" sheetId="10" r:id="R5112be75510d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0.00"/>
    <x:numFmt numFmtId="203" formatCode="yyyy-mm-dd hh:mm"/>
    <x:numFmt numFmtId="204" formatCode="0.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i/>
      <x:sz val="11"/>
      <x:color rgb="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172A"/>
      </x:patternFill>
    </x:fill>
    <x:fill>
      <x:patternFill patternType="solid">
        <x:fgColor rgb="F1F5F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479a565304a6f" /><Relationship Type="http://schemas.openxmlformats.org/officeDocument/2006/relationships/theme" Target="/xl/theme/theme1.xml" Id="R288987fc74424797" /><Relationship Type="http://schemas.openxmlformats.org/officeDocument/2006/relationships/sharedStrings" Target="/xl/sharedStrings.xml" Id="Rffaad9a90bbb4225" /><Relationship Type="http://schemas.openxmlformats.org/officeDocument/2006/relationships/worksheet" Target="/xl/worksheets/sheet1.xml" Id="R9241680706e741e2" /><Relationship Type="http://schemas.openxmlformats.org/officeDocument/2006/relationships/worksheet" Target="/xl/worksheets/sheet2.xml" Id="Rcdef0847b4204e4d" /><Relationship Type="http://schemas.openxmlformats.org/officeDocument/2006/relationships/worksheet" Target="/xl/worksheets/sheet3.xml" Id="R7d553d93d6344ffa" /><Relationship Type="http://schemas.openxmlformats.org/officeDocument/2006/relationships/worksheet" Target="/xl/worksheets/sheet4.xml" Id="R734a73a57ebd4e1a" /><Relationship Type="http://schemas.openxmlformats.org/officeDocument/2006/relationships/worksheet" Target="/xl/worksheets/sheet5.xml" Id="Rf2932460e88843be" /><Relationship Type="http://schemas.openxmlformats.org/officeDocument/2006/relationships/worksheet" Target="/xl/worksheets/sheet6.xml" Id="R0cae54b05f0b4230" /><Relationship Type="http://schemas.openxmlformats.org/officeDocument/2006/relationships/worksheet" Target="/xl/worksheets/sheet7.xml" Id="R219e58e11de548bb" /><Relationship Type="http://schemas.openxmlformats.org/officeDocument/2006/relationships/worksheet" Target="/xl/worksheets/sheet8.xml" Id="R8b3b08c016204d2d" /><Relationship Type="http://schemas.openxmlformats.org/officeDocument/2006/relationships/worksheet" Target="/xl/worksheets/sheet9.xml" Id="R437943ef7cb54c91" /><Relationship Type="http://schemas.openxmlformats.org/officeDocument/2006/relationships/worksheet" Target="/xl/worksheets/sheet10.xml" Id="R5112be75510d4e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51d90f74414c0b" /><Relationship Type="http://schemas.openxmlformats.org/officeDocument/2006/relationships/chart" Target="/xl/drawings/charts/chart2.xml" Id="R4ffa547e1ab745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Applications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'Dashboard'!$F$5:$F$14</c:f>
              <c:strCache>
                <c:ptCount val="0"/>
              </c:strCache>
            </c:strRef>
          </c:cat>
          <c:val>
            <c:numRef>
              <c:f>'Dashboard'!$G$5:$G$14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Activity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Applications</c:v>
          </c:tx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'Dashboard'!$B$16:$B$27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Outreach</c:v>
          </c:tx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'Dashboard'!$C$16:$C$27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Responses</c:v>
          </c:tx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'Dashboard'!$D$16:$D$27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Interviews</c:v>
          </c:tx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'Dashboard'!$E$16:$E$27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tx>
            <c:v>Offers</c:v>
          </c:tx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'Dashboard'!$F$16:$F$27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51d90f74414c0b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fa547e1ab745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licationsTable" displayName="ApplicationsTable" ref="A2:AC202" headerRowCount="1">
  <x:tableColumns count="29">
    <x:tableColumn id="1" name="Application ID"/>
    <x:tableColumn id="2" name="Date Added"/>
    <x:tableColumn id="3" name="Company"/>
    <x:tableColumn id="4" name="Role Title"/>
    <x:tableColumn id="5" name="Role Family"/>
    <x:tableColumn id="6" name="Priority"/>
    <x:tableColumn id="7" name="Status"/>
    <x:tableColumn id="8" name="Source"/>
    <x:tableColumn id="9" name="Job URL"/>
    <x:tableColumn id="10" name="Remote Scope"/>
    <x:tableColumn id="11" name="Contractor Option"/>
    <x:tableColumn id="12" name="Work Auth Scope"/>
    <x:tableColumn id="13" name="Region"/>
    <x:tableColumn id="14" name="Salary Min USD/mo"/>
    <x:tableColumn id="15" name="Salary Max USD/mo"/>
    <x:tableColumn id="16" name="CV Variant"/>
    <x:tableColumn id="17" name="Portfolio Link"/>
    <x:tableColumn id="18" name="Contact Person"/>
    <x:tableColumn id="19" name="Next Follow-up"/>
    <x:tableColumn id="20" name="Last Action Date"/>
    <x:tableColumn id="21" name="Response"/>
    <x:tableColumn id="22" name="Interview Stage"/>
    <x:tableColumn id="23" name="Rejection Reason"/>
    <x:tableColumn id="24" name="Fit"/>
    <x:tableColumn id="25" name="Probability"/>
    <x:tableColumn id="26" name="Compensation"/>
    <x:tableColumn id="27" name="Portfolio Fit"/>
    <x:tableColumn id="28" name="Weighted Score"/>
    <x:tableColumn id="2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paniesTable" displayName="CompaniesTable" ref="A2:U202" headerRowCount="1">
  <x:tableColumns count="21">
    <x:tableColumn id="1" name="Company"/>
    <x:tableColumn id="2" name="Country/Region"/>
    <x:tableColumn id="3" name="Category"/>
    <x:tableColumn id="4" name="Priority"/>
    <x:tableColumn id="5" name="Website"/>
    <x:tableColumn id="6" name="Careers URL"/>
    <x:tableColumn id="7" name="LinkedIn URL"/>
    <x:tableColumn id="8" name="Remote Likelihood"/>
    <x:tableColumn id="9" name="Contractor Likelihood"/>
    <x:tableColumn id="10" name="Language"/>
    <x:tableColumn id="11" name="Work Authorization Notes"/>
    <x:tableColumn id="12" name="Salary Tier"/>
    <x:tableColumn id="13" name="Fit"/>
    <x:tableColumn id="14" name="Probability"/>
    <x:tableColumn id="15" name="Compensation"/>
    <x:tableColumn id="16" name="Portfolio Fit"/>
    <x:tableColumn id="17" name="Total Score"/>
    <x:tableColumn id="18" name="Status"/>
    <x:tableColumn id="19" name="Last Checked"/>
    <x:tableColumn id="20" name="Next Action"/>
    <x:tableColumn id="2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ntactsTable" displayName="ContactsTable" ref="A2:O202" headerRowCount="1">
  <x:tableColumns count="15">
    <x:tableColumn id="1" name="Contact ID"/>
    <x:tableColumn id="2" name="Date Added"/>
    <x:tableColumn id="3" name="Name"/>
    <x:tableColumn id="4" name="Company"/>
    <x:tableColumn id="5" name="Role"/>
    <x:tableColumn id="6" name="Channel"/>
    <x:tableColumn id="7" name="LinkedIn / Email"/>
    <x:tableColumn id="8" name="Category"/>
    <x:tableColumn id="9" name="Priority"/>
    <x:tableColumn id="10" name="Status"/>
    <x:tableColumn id="11" name="Last Contact"/>
    <x:tableColumn id="12" name="Next Follow-up"/>
    <x:tableColumn id="13" name="Message Template"/>
    <x:tableColumn id="14" name="Response"/>
    <x:tableColumn id="1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nterviewsTable" displayName="InterviewsTable" ref="A2:N102" headerRowCount="1">
  <x:tableColumns count="14">
    <x:tableColumn id="1" name="Interview ID"/>
    <x:tableColumn id="2" name="Company"/>
    <x:tableColumn id="3" name="Role"/>
    <x:tableColumn id="4" name="Stage"/>
    <x:tableColumn id="5" name="Date"/>
    <x:tableColumn id="6" name="Interviewer"/>
    <x:tableColumn id="7" name="Format"/>
    <x:tableColumn id="8" name="Preparation Status"/>
    <x:tableColumn id="9" name="Outcome"/>
    <x:tableColumn id="10" name="Follow-up Date"/>
    <x:tableColumn id="11" name="Key Questions"/>
    <x:tableColumn id="12" name="Weak Points"/>
    <x:tableColumn id="13" name="Next Act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OffersTable" displayName="OffersTable" ref="A2:U52" headerRowCount="1">
  <x:tableColumns count="21">
    <x:tableColumn id="1" name="Offer ID"/>
    <x:tableColumn id="2" name="Company"/>
    <x:tableColumn id="3" name="Role"/>
    <x:tableColumn id="4" name="Offer Date"/>
    <x:tableColumn id="5" name="Type"/>
    <x:tableColumn id="6" name="Currency"/>
    <x:tableColumn id="7" name="Gross Monthly"/>
    <x:tableColumn id="8" name="Estimated Net"/>
    <x:tableColumn id="9" name="Gross Score"/>
    <x:tableColumn id="10" name="Net Score"/>
    <x:tableColumn id="11" name="Role Fit"/>
    <x:tableColumn id="12" name="Portfolio Leverage"/>
    <x:tableColumn id="13" name="Contract Clarity"/>
    <x:tableColumn id="14" name="Payment Reliability"/>
    <x:tableColumn id="15" name="Remote Feasibility"/>
    <x:tableColumn id="16" name="Growth ROI"/>
    <x:tableColumn id="17" name="Weighted Score"/>
    <x:tableColumn id="18" name="Decision"/>
    <x:tableColumn id="19" name="Red Flags"/>
    <x:tableColumn id="20" name="Negotiation Points"/>
    <x:tableColumn id="2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WeeklyMetricsTable" displayName="WeeklyMetricsTable" ref="A2:O54" headerRowCount="1">
  <x:tableColumns count="15">
    <x:tableColumn id="1" name="Week Start"/>
    <x:tableColumn id="2" name="Applications Sent"/>
    <x:tableColumn id="3" name="Outreach Sent"/>
    <x:tableColumn id="4" name="Follow-ups"/>
    <x:tableColumn id="5" name="Responses"/>
    <x:tableColumn id="6" name="Recruiter Contacts"/>
    <x:tableColumn id="7" name="Interviews Started"/>
    <x:tableColumn id="8" name="Technical Tests"/>
    <x:tableColumn id="9" name="Offers"/>
    <x:tableColumn id="10" name="Rejections"/>
    <x:tableColumn id="11" name="Portfolio Blocks"/>
    <x:tableColumn id="12" name="Skill Blocks"/>
    <x:tableColumn id="13" name="Response Rate"/>
    <x:tableColumn id="14" name="Interview Conversion"/>
    <x:tableColumn id="1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killSprintTable" displayName="SkillSprintTable" ref="A2:I102" headerRowCount="1">
  <x:tableColumns count="9">
    <x:tableColumn id="1" name="Skill"/>
    <x:tableColumn id="2" name="Priority"/>
    <x:tableColumn id="3" name="Current Level"/>
    <x:tableColumn id="4" name="Target Artifact"/>
    <x:tableColumn id="5" name="Status"/>
    <x:tableColumn id="6" name="Weekly Hours"/>
    <x:tableColumn id="7" name="Due Date"/>
    <x:tableColumn id="8" name="Evidence Link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ntentAssetsTable" displayName="ContentAssetsTable" ref="A2:I102" headerRowCount="1">
  <x:tableColumns count="9">
    <x:tableColumn id="1" name="Asset"/>
    <x:tableColumn id="2" name="Type"/>
    <x:tableColumn id="3" name="Status"/>
    <x:tableColumn id="4" name="Priority"/>
    <x:tableColumn id="5" name="Owner"/>
    <x:tableColumn id="6" name="Due Date"/>
    <x:tableColumn id="7" name="URL"/>
    <x:tableColumn id="8" name="Dependency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3eff9bc18d40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3e5750580945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bba36f965b43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7b0dcfa39642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eaec82e6ab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018b938b7c43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2b8b3297454b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6a0cc1b3c449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4c5c82ca11480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28" hidden="0" customWidth="1"/>
    <x:col min="5" max="5" width="4" hidden="0" customWidth="1"/>
    <x:col min="6" max="6" width="22" hidden="0" customWidth="1"/>
    <x:col min="7" max="7" width="12" hidden="0" customWidth="1"/>
    <x:col min="8" max="8" width="12" hidden="0" customWidth="1"/>
    <x:col min="9" max="9" width="4" hidden="0" customWidth="1"/>
    <x:col min="10" max="10" width="16" hidden="0" customWidth="1"/>
    <x:col min="11" max="11" width="14" hidden="0" customWidth="1"/>
    <x:col min="12" max="12" width="14" hidden="0" customWidth="1"/>
  </x:cols>
  <x:sheetData>
    <x:row r="1" ht="28" customHeight="1">
      <x:c r="A1" s="20" t="str">
        <x:v>International Job Search Dashboard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48" t="str">
        <x:v>Real-Time 3D / Unity / Technical Visualization — Colombia-based remote contractor strategy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14" t="str">
        <x:v>KPI</x:v>
      </x:c>
      <x:c r="B4" s="14" t="str">
        <x:v>Value</x:v>
      </x:c>
      <x:c r="C4" s="14" t="str">
        <x:v>Target / Interpretation</x:v>
      </x:c>
      <x:c r="D4" s="14" t="str">
        <x:v>Notes</x:v>
      </x:c>
      <x:c r="E4" s="21"/>
      <x:c r="F4" s="14" t="str">
        <x:v>Application Status</x:v>
      </x:c>
      <x:c r="G4" s="14" t="str">
        <x:v>Count</x:v>
      </x:c>
      <x:c r="H4" s="14" t="str">
        <x:v>Share</x:v>
      </x:c>
      <x:c r="I4" s="21"/>
      <x:c r="J4" s="14" t="str">
        <x:v>Priority</x:v>
      </x:c>
      <x:c r="K4" s="14" t="str">
        <x:v>Companies</x:v>
      </x:c>
      <x:c r="L4" s="14" t="str">
        <x:v>Applications</x:v>
      </x:c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Total applications</x:v>
      </x:c>
      <x:c r="B5" s="21" t="n">
        <x:f>COUNTA(Applications!A3:A202)</x:f>
        <x:v>2</x:v>
      </x:c>
      <x:c r="C5" s="21" t="str">
        <x:v>80–150 by day 90</x:v>
      </x:c>
      <x:c r="D5" s="21" t="str"/>
      <x:c r="E5" s="21"/>
      <x:c r="F5" s="21" t="str">
        <x:v>Not Started</x:v>
      </x:c>
      <x:c r="G5" s="21" t="n">
        <x:f>COUNTIF(Applications!$G$3:$G$202,F5)</x:f>
        <x:v>1</x:v>
      </x:c>
      <x:c r="H5" s="46" t="n">
        <x:f>IF($B$5=0,"",G5/$B$5)</x:f>
        <x:v>0.5</x:v>
      </x:c>
      <x:c r="I5" s="21"/>
      <x:c r="J5" s="21" t="str">
        <x:v>A</x:v>
      </x:c>
      <x:c r="K5" s="21" t="n">
        <x:f>COUNTIF(Companies!$D$3:$D$202,J5)</x:f>
        <x:v>2</x:v>
      </x:c>
      <x:c r="L5" s="21" t="n">
        <x:f>COUNTIF(Applications!$F$3:$F$202,J5)</x:f>
        <x:v>2</x:v>
      </x:c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A-priority applications</x:v>
      </x:c>
      <x:c r="B6" s="21" t="n">
        <x:f>COUNTIF(Applications!F3:F202,"A")</x:f>
        <x:v>2</x:v>
      </x:c>
      <x:c r="C6" s="21" t="str">
        <x:v>Focus quality</x:v>
      </x:c>
      <x:c r="D6" s="21" t="str"/>
      <x:c r="E6" s="21"/>
      <x:c r="F6" s="21" t="str">
        <x:v>Applied</x:v>
      </x:c>
      <x:c r="G6" s="21" t="n">
        <x:f>COUNTIF(Applications!$G$3:$G$202,F6)</x:f>
        <x:v>1</x:v>
      </x:c>
      <x:c r="H6" s="46" t="n">
        <x:f>IF($B$5=0,"",G6/$B$5)</x:f>
        <x:v>0.5</x:v>
      </x:c>
      <x:c r="I6" s="21"/>
      <x:c r="J6" s="21" t="str">
        <x:v>B</x:v>
      </x:c>
      <x:c r="K6" s="21" t="n">
        <x:f>COUNTIF(Companies!$D$3:$D$202,J6)</x:f>
        <x:v>0</x:v>
      </x:c>
      <x:c r="L6" s="21" t="n">
        <x:f>COUNTIF(Applications!$F$3:$F$202,J6)</x:f>
        <x:v>0</x:v>
      </x:c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Active pipeline</x:v>
      </x:c>
      <x:c r="B7" s="21" t="n">
        <x:f>COUNTIFS(Applications!G3:G202,"&lt;&gt;Rejected",Applications!G3:G202,"&lt;&gt;Archived",Applications!G3:G202,"&lt;&gt;Not Started")</x:f>
        <x:v>199</x:v>
      </x:c>
      <x:c r="C7" s="21" t="str">
        <x:v>Open processes</x:v>
      </x:c>
      <x:c r="D7" s="21" t="str"/>
      <x:c r="E7" s="21"/>
      <x:c r="F7" s="21" t="str">
        <x:v>Follow-up 1</x:v>
      </x:c>
      <x:c r="G7" s="21" t="n">
        <x:f>COUNTIF(Applications!$G$3:$G$202,F7)</x:f>
        <x:v>0</x:v>
      </x:c>
      <x:c r="H7" s="46" t="n">
        <x:f>IF($B$5=0,"",G7/$B$5)</x:f>
        <x:v>0</x:v>
      </x:c>
      <x:c r="I7" s="21"/>
      <x:c r="J7" s="21" t="str">
        <x:v>C</x:v>
      </x:c>
      <x:c r="K7" s="21" t="n">
        <x:f>COUNTIF(Companies!$D$3:$D$202,J7)</x:f>
        <x:v>0</x:v>
      </x:c>
      <x:c r="L7" s="21" t="n">
        <x:f>COUNTIF(Applications!$F$3:$F$202,J7)</x:f>
        <x:v>0</x:v>
      </x:c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Interviews started</x:v>
      </x:c>
      <x:c r="B8" s="21" t="n">
        <x:f>COUNTA(Interviews!A3:A102)</x:f>
        <x:v>0</x:v>
      </x:c>
      <x:c r="C8" s="21" t="str">
        <x:v>3–6 target</x:v>
      </x:c>
      <x:c r="D8" s="21" t="str"/>
      <x:c r="E8" s="21"/>
      <x:c r="F8" s="21" t="str">
        <x:v>Follow-up 2</x:v>
      </x:c>
      <x:c r="G8" s="21" t="n">
        <x:f>COUNTIF(Applications!$G$3:$G$202,F8)</x:f>
        <x:v>0</x:v>
      </x:c>
      <x:c r="H8" s="46" t="n">
        <x:f>IF($B$5=0,"",G8/$B$5)</x:f>
        <x:v>0</x:v>
      </x:c>
      <x:c r="I8" s="21"/>
      <x:c r="J8" s="21" t="str">
        <x:v>Watchlist</x:v>
      </x:c>
      <x:c r="K8" s="21" t="n">
        <x:f>COUNTIF(Companies!$D$3:$D$202,J8)</x:f>
        <x:v>0</x:v>
      </x:c>
      <x:c r="L8" s="21" t="n">
        <x:f>COUNTIF(Applications!$F$3:$F$202,J8)</x:f>
        <x:v>0</x:v>
      </x:c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Offers</x:v>
      </x:c>
      <x:c r="B9" s="21" t="n">
        <x:f>COUNTA(Offers!A3:A52)</x:f>
        <x:v>1</x:v>
      </x:c>
      <x:c r="C9" s="21" t="str">
        <x:v>Evaluate with scorecard</x:v>
      </x:c>
      <x:c r="D9" s="21" t="str"/>
      <x:c r="E9" s="21"/>
      <x:c r="F9" s="21" t="str">
        <x:v>Screening</x:v>
      </x:c>
      <x:c r="G9" s="21" t="n">
        <x:f>COUNTIF(Applications!$G$3:$G$202,F9)</x:f>
        <x:v>0</x:v>
      </x:c>
      <x:c r="H9" s="46" t="n">
        <x:f>IF($B$5=0,"",G9/$B$5)</x:f>
        <x:v>0</x:v>
      </x:c>
      <x:c r="I9" s="21"/>
      <x:c r="J9" s="21" t="str">
        <x:v>Reject</x:v>
      </x:c>
      <x:c r="K9" s="21" t="n">
        <x:f>COUNTIF(Companies!$D$3:$D$202,J9)</x:f>
        <x:v>0</x:v>
      </x:c>
      <x:c r="L9" s="21" t="n">
        <x:f>COUNTIF(Applications!$F$3:$F$202,J9)</x:f>
        <x:v>0</x:v>
      </x:c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Follow-ups due</x:v>
      </x:c>
      <x:c r="B10" s="21" t="n">
        <x:f>COUNTIFS(Applications!S3:S202,"&lt;"&amp;TODAY(),Applications!S3:S202,"&lt;&gt;",Applications!G3:G202,"&lt;&gt;Rejected",Applications!G3:G202,"&lt;&gt;Archived")</x:f>
        <x:v>0</x:v>
      </x:c>
      <x:c r="C10" s="21" t="str">
        <x:v>Review daily</x:v>
      </x:c>
      <x:c r="D10" s="21" t="str"/>
      <x:c r="E10" s="21"/>
      <x:c r="F10" s="21" t="str">
        <x:v>Interview</x:v>
      </x:c>
      <x:c r="G10" s="21" t="n">
        <x:f>COUNTIF(Applications!$G$3:$G$202,F10)</x:f>
        <x:v>0</x:v>
      </x:c>
      <x:c r="H10" s="46" t="n">
        <x:f>IF($B$5=0,"",G10/$B$5)</x:f>
        <x:v>0</x:v>
      </x:c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Avg application score</x:v>
      </x:c>
      <x:c r="B11" s="21" t="n">
        <x:f>IFERROR(AVERAGE(Applications!AB3:AB202),"")</x:f>
        <x:v>4.4</x:v>
      </x:c>
      <x:c r="C11" s="21" t="str">
        <x:v>Higher is better</x:v>
      </x:c>
      <x:c r="D11" s="21" t="str"/>
      <x:c r="E11" s="21"/>
      <x:c r="F11" s="21" t="str">
        <x:v>Technical Test</x:v>
      </x:c>
      <x:c r="G11" s="21" t="n">
        <x:f>COUNTIF(Applications!$G$3:$G$202,F11)</x:f>
        <x:v>0</x:v>
      </x:c>
      <x:c r="H11" s="46" t="n">
        <x:f>IF($B$5=0,"",G11/$B$5)</x:f>
        <x:v>0</x:v>
      </x:c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Avg offer score</x:v>
      </x:c>
      <x:c r="B12" s="21" t="n">
        <x:f>IFERROR(AVERAGE(Offers!Q3:Q52),"")</x:f>
        <x:v>4.3</x:v>
      </x:c>
      <x:c r="C12" s="21" t="str">
        <x:v>Decision threshold</x:v>
      </x:c>
      <x:c r="D12" s="21" t="str"/>
      <x:c r="E12" s="21"/>
      <x:c r="F12" s="21" t="str">
        <x:v>Offer</x:v>
      </x:c>
      <x:c r="G12" s="21" t="n">
        <x:f>COUNTIF(Applications!$G$3:$G$202,F12)</x:f>
        <x:v>0</x:v>
      </x:c>
      <x:c r="H12" s="46" t="n">
        <x:f>IF($B$5=0,"",G12/$B$5)</x:f>
        <x:v>0</x:v>
      </x:c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 t="str">
        <x:v>Rejected</x:v>
      </x:c>
      <x:c r="G13" s="21" t="n">
        <x:f>COUNTIF(Applications!$G$3:$G$202,F13)</x:f>
        <x:v>0</x:v>
      </x:c>
      <x:c r="H13" s="46" t="n">
        <x:f>IF($B$5=0,"",G13/$B$5)</x:f>
        <x:v>0</x:v>
      </x:c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 t="str">
        <x:v>Archived</x:v>
      </x:c>
      <x:c r="G14" s="21" t="n">
        <x:f>COUNTIF(Applications!$G$3:$G$202,F14)</x:f>
        <x:v>0</x:v>
      </x:c>
      <x:c r="H14" s="46" t="n">
        <x:f>IF($B$5=0,"",G14/$B$5)</x:f>
        <x:v>0</x:v>
      </x:c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14" t="str">
        <x:v>Week Start</x:v>
      </x:c>
      <x:c r="B15" s="14" t="str">
        <x:v>Applications</x:v>
      </x:c>
      <x:c r="C15" s="14" t="str">
        <x:v>Outreach</x:v>
      </x:c>
      <x:c r="D15" s="14" t="str">
        <x:v>Responses</x:v>
      </x:c>
      <x:c r="E15" s="14" t="str">
        <x:v>Interviews</x:v>
      </x:c>
      <x:c r="F15" s="14" t="str">
        <x:v>Offers</x:v>
      </x:c>
      <x:c r="G15" s="21"/>
      <x:c r="H15" s="14" t="str">
        <x:v>Operating Rules</x:v>
      </x:c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49" t="n">
        <x:f>'Weekly Metrics'!A3</x:f>
        <x:v>46181.85428778935</x:v>
      </x:c>
      <x:c r="B16" s="21" t="n">
        <x:f>'Weekly Metrics'!B3</x:f>
        <x:v>0</x:v>
      </x:c>
      <x:c r="C16" s="21" t="n">
        <x:f>'Weekly Metrics'!C3</x:f>
        <x:v>0</x:v>
      </x:c>
      <x:c r="D16" s="21" t="n">
        <x:f>'Weekly Metrics'!E3</x:f>
        <x:v>0</x:v>
      </x:c>
      <x:c r="E16" s="21" t="n">
        <x:f>'Weekly Metrics'!G3</x:f>
        <x:v>0</x:v>
      </x:c>
      <x:c r="F16" s="21" t="n">
        <x:f>'Weekly Metrics'!I3</x:f>
        <x:v>0</x:v>
      </x:c>
      <x:c r="G16" s="21"/>
      <x:c r="H16" s="21" t="str">
        <x:v>Do not apply at scale before CV + TwinSight case study + LinkedIn are ready.</x:v>
      </x:c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49" t="n">
        <x:f>'Weekly Metrics'!A4</x:f>
        <x:v>46188.85428778935</x:v>
      </x:c>
      <x:c r="B17" s="21" t="n">
        <x:f>'Weekly Metrics'!B4</x:f>
        <x:v>0</x:v>
      </x:c>
      <x:c r="C17" s="21" t="n">
        <x:f>'Weekly Metrics'!C4</x:f>
        <x:v>0</x:v>
      </x:c>
      <x:c r="D17" s="21" t="n">
        <x:f>'Weekly Metrics'!E4</x:f>
        <x:v>0</x:v>
      </x:c>
      <x:c r="E17" s="21" t="n">
        <x:f>'Weekly Metrics'!G4</x:f>
        <x:v>0</x:v>
      </x:c>
      <x:c r="F17" s="21" t="n">
        <x:f>'Weekly Metrics'!I4</x:f>
        <x:v>0</x:v>
      </x:c>
      <x:c r="G17" s="21"/>
      <x:c r="H17" s="21" t="str">
        <x:v>A-priority roles require tailored CV, TwinSight link and follow-up.</x:v>
      </x:c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49" t="n">
        <x:f>'Weekly Metrics'!A5</x:f>
        <x:v>46195.85428778935</x:v>
      </x:c>
      <x:c r="B18" s="21" t="n">
        <x:f>'Weekly Metrics'!B5</x:f>
        <x:v>0</x:v>
      </x:c>
      <x:c r="C18" s="21" t="n">
        <x:f>'Weekly Metrics'!C5</x:f>
        <x:v>0</x:v>
      </x:c>
      <x:c r="D18" s="21" t="n">
        <x:f>'Weekly Metrics'!E5</x:f>
        <x:v>0</x:v>
      </x:c>
      <x:c r="E18" s="21" t="n">
        <x:f>'Weekly Metrics'!G5</x:f>
        <x:v>0</x:v>
      </x:c>
      <x:c r="F18" s="21" t="n">
        <x:f>'Weekly Metrics'!I5</x:f>
        <x:v>0</x:v>
      </x:c>
      <x:c r="G18" s="21"/>
      <x:c r="H18" s="21" t="str">
        <x:v>Track every application, outreach and interview.</x:v>
      </x:c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49" t="n">
        <x:f>'Weekly Metrics'!A6</x:f>
        <x:v>46202.85428778935</x:v>
      </x:c>
      <x:c r="B19" s="21" t="n">
        <x:f>'Weekly Metrics'!B6</x:f>
        <x:v>0</x:v>
      </x:c>
      <x:c r="C19" s="21" t="n">
        <x:f>'Weekly Metrics'!C6</x:f>
        <x:v>0</x:v>
      </x:c>
      <x:c r="D19" s="21" t="n">
        <x:f>'Weekly Metrics'!E6</x:f>
        <x:v>0</x:v>
      </x:c>
      <x:c r="E19" s="21" t="n">
        <x:f>'Weekly Metrics'!G6</x:f>
        <x:v>0</x:v>
      </x:c>
      <x:c r="F19" s="21" t="n">
        <x:f>'Weekly Metrics'!I6</x:f>
        <x:v>0</x:v>
      </x:c>
      <x:c r="G19" s="21"/>
      <x:c r="H19" s="21" t="str">
        <x:v>Treat EU authorization as future, not current.</x:v>
      </x:c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49" t="n">
        <x:f>'Weekly Metrics'!A7</x:f>
        <x:v>46209.85428778935</x:v>
      </x:c>
      <x:c r="B20" s="21" t="n">
        <x:f>'Weekly Metrics'!B7</x:f>
        <x:v>0</x:v>
      </x:c>
      <x:c r="C20" s="21" t="n">
        <x:f>'Weekly Metrics'!C7</x:f>
        <x:v>0</x:v>
      </x:c>
      <x:c r="D20" s="21" t="n">
        <x:f>'Weekly Metrics'!E7</x:f>
        <x:v>0</x:v>
      </x:c>
      <x:c r="E20" s="21" t="n">
        <x:f>'Weekly Metrics'!G7</x:f>
        <x:v>0</x:v>
      </x:c>
      <x:c r="F20" s="21" t="n">
        <x:f>'Weekly Metrics'!I7</x:f>
        <x:v>0</x:v>
      </x:c>
      <x:c r="G20" s="21"/>
      <x:c r="H20" s="21" t="str">
        <x:v>Reject vague unpaid production tests and unclear contracts.</x:v>
      </x:c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49" t="n">
        <x:f>'Weekly Metrics'!A8</x:f>
        <x:v>46216.85428778935</x:v>
      </x:c>
      <x:c r="B21" s="21" t="n">
        <x:f>'Weekly Metrics'!B8</x:f>
        <x:v>0</x:v>
      </x:c>
      <x:c r="C21" s="21" t="n">
        <x:f>'Weekly Metrics'!C8</x:f>
        <x:v>0</x:v>
      </x:c>
      <x:c r="D21" s="21" t="n">
        <x:f>'Weekly Metrics'!E8</x:f>
        <x:v>0</x:v>
      </x:c>
      <x:c r="E21" s="21" t="n">
        <x:f>'Weekly Metrics'!G8</x:f>
        <x:v>0</x:v>
      </x:c>
      <x:c r="F21" s="21" t="n">
        <x:f>'Weekly Metrics'!I8</x:f>
        <x:v>0</x:v>
      </x:c>
      <x:c r="G21" s="21"/>
      <x:c r="H21" s="21" t="str">
        <x:v>Review dashboard weekly and adjust based on response data.</x:v>
      </x:c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49" t="n">
        <x:f>'Weekly Metrics'!A9</x:f>
        <x:v>46223.85428778935</x:v>
      </x:c>
      <x:c r="B22" s="21" t="n">
        <x:f>'Weekly Metrics'!B9</x:f>
        <x:v>0</x:v>
      </x:c>
      <x:c r="C22" s="21" t="n">
        <x:f>'Weekly Metrics'!C9</x:f>
        <x:v>0</x:v>
      </x:c>
      <x:c r="D22" s="21" t="n">
        <x:f>'Weekly Metrics'!E9</x:f>
        <x:v>0</x:v>
      </x:c>
      <x:c r="E22" s="21" t="n">
        <x:f>'Weekly Metrics'!G9</x:f>
        <x:v>0</x:v>
      </x:c>
      <x:c r="F22" s="21" t="n">
        <x:f>'Weekly Metrics'!I9</x:f>
        <x:v>0</x:v>
      </x:c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49" t="n">
        <x:f>'Weekly Metrics'!A10</x:f>
        <x:v>46230.85428778935</x:v>
      </x:c>
      <x:c r="B23" s="21" t="n">
        <x:f>'Weekly Metrics'!B10</x:f>
        <x:v>0</x:v>
      </x:c>
      <x:c r="C23" s="21" t="n">
        <x:f>'Weekly Metrics'!C10</x:f>
        <x:v>0</x:v>
      </x:c>
      <x:c r="D23" s="21" t="n">
        <x:f>'Weekly Metrics'!E10</x:f>
        <x:v>0</x:v>
      </x:c>
      <x:c r="E23" s="21" t="n">
        <x:f>'Weekly Metrics'!G10</x:f>
        <x:v>0</x:v>
      </x:c>
      <x:c r="F23" s="21" t="n">
        <x:f>'Weekly Metrics'!I10</x:f>
        <x:v>0</x:v>
      </x:c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49" t="n">
        <x:f>'Weekly Metrics'!A11</x:f>
        <x:v>46237.85428778935</x:v>
      </x:c>
      <x:c r="B24" s="21" t="n">
        <x:f>'Weekly Metrics'!B11</x:f>
        <x:v>0</x:v>
      </x:c>
      <x:c r="C24" s="21" t="n">
        <x:f>'Weekly Metrics'!C11</x:f>
        <x:v>0</x:v>
      </x:c>
      <x:c r="D24" s="21" t="n">
        <x:f>'Weekly Metrics'!E11</x:f>
        <x:v>0</x:v>
      </x:c>
      <x:c r="E24" s="21" t="n">
        <x:f>'Weekly Metrics'!G11</x:f>
        <x:v>0</x:v>
      </x:c>
      <x:c r="F24" s="21" t="n">
        <x:f>'Weekly Metrics'!I11</x:f>
        <x:v>0</x:v>
      </x:c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49" t="n">
        <x:f>'Weekly Metrics'!A12</x:f>
        <x:v>46244.85428778935</x:v>
      </x:c>
      <x:c r="B25" s="21" t="n">
        <x:f>'Weekly Metrics'!B12</x:f>
        <x:v>0</x:v>
      </x:c>
      <x:c r="C25" s="21" t="n">
        <x:f>'Weekly Metrics'!C12</x:f>
        <x:v>0</x:v>
      </x:c>
      <x:c r="D25" s="21" t="n">
        <x:f>'Weekly Metrics'!E12</x:f>
        <x:v>0</x:v>
      </x:c>
      <x:c r="E25" s="21" t="n">
        <x:f>'Weekly Metrics'!G12</x:f>
        <x:v>0</x:v>
      </x:c>
      <x:c r="F25" s="21" t="n">
        <x:f>'Weekly Metrics'!I12</x:f>
        <x:v>0</x:v>
      </x:c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49" t="n">
        <x:f>'Weekly Metrics'!A13</x:f>
        <x:v>46251.85428778935</x:v>
      </x:c>
      <x:c r="B26" s="21" t="n">
        <x:f>'Weekly Metrics'!B13</x:f>
        <x:v>0</x:v>
      </x:c>
      <x:c r="C26" s="21" t="n">
        <x:f>'Weekly Metrics'!C13</x:f>
        <x:v>0</x:v>
      </x:c>
      <x:c r="D26" s="21" t="n">
        <x:f>'Weekly Metrics'!E13</x:f>
        <x:v>0</x:v>
      </x:c>
      <x:c r="E26" s="21" t="n">
        <x:f>'Weekly Metrics'!G13</x:f>
        <x:v>0</x:v>
      </x:c>
      <x:c r="F26" s="21" t="n">
        <x:f>'Weekly Metrics'!I13</x:f>
        <x:v>0</x:v>
      </x:c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49" t="n">
        <x:f>'Weekly Metrics'!A14</x:f>
        <x:v>46258.85428778935</x:v>
      </x:c>
      <x:c r="B27" s="21" t="n">
        <x:f>'Weekly Metrics'!B14</x:f>
        <x:v>0</x:v>
      </x:c>
      <x:c r="C27" s="21" t="n">
        <x:f>'Weekly Metrics'!C14</x:f>
        <x:v>0</x:v>
      </x:c>
      <x:c r="D27" s="21" t="n">
        <x:f>'Weekly Metrics'!E14</x:f>
        <x:v>0</x:v>
      </x:c>
      <x:c r="E27" s="21" t="n">
        <x:f>'Weekly Metrics'!G14</x:f>
        <x:v>0</x:v>
      </x:c>
      <x:c r="F27" s="21" t="n">
        <x:f>'Weekly Metrics'!I14</x:f>
        <x:v>0</x:v>
      </x:c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L1"/>
    <x:mergeCell ref="A2:L2"/>
    <x:mergeCell ref="H15:L15"/>
    <x:mergeCell ref="H16:L21"/>
  </x:mergeCells>
  <x:conditionalFormatting sqref="B5:B12">
    <x:cfRule type="dataBar" priority="1">
      <x:dataBar>
        <x:cfvo type="min"/>
        <x:cfvo type="max"/>
        <x:color rgb="1D4ED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53eff9bc18d403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1D4ED8"/>
            </x14:dataBar>
          </x14:cfRule>
          <xm:sqref>B5:B12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28" hidden="0" customWidth="1"/>
    <x:col min="5" max="5" width="26" hidden="0" customWidth="1"/>
    <x:col min="6" max="6" width="12" hidden="0" customWidth="1"/>
    <x:col min="7" max="7" width="16" hidden="0" customWidth="1"/>
    <x:col min="8" max="8" width="18" hidden="0" customWidth="1"/>
    <x:col min="9" max="9" width="30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14" hidden="0" customWidth="1"/>
    <x:col min="15" max="15" width="14" hidden="0" customWidth="1"/>
    <x:col min="16" max="16" width="22" hidden="0" customWidth="1"/>
    <x:col min="17" max="17" width="26" hidden="0" customWidth="1"/>
    <x:col min="18" max="18" width="18" hidden="0" customWidth="1"/>
    <x:col min="19" max="19" width="14" hidden="0" customWidth="1"/>
    <x:col min="20" max="20" width="14" hidden="0" customWidth="1"/>
    <x:col min="21" max="21" width="18" hidden="0" customWidth="1"/>
    <x:col min="22" max="22" width="18" hidden="0" customWidth="1"/>
    <x:col min="23" max="23" width="22" hidden="0" customWidth="1"/>
    <x:col min="24" max="24" width="10" hidden="0" customWidth="1"/>
    <x:col min="25" max="25" width="12" hidden="0" customWidth="1"/>
    <x:col min="26" max="26" width="14" hidden="0" customWidth="1"/>
    <x:col min="27" max="27" width="14" hidden="0" customWidth="1"/>
    <x:col min="28" max="28" width="14" hidden="0" customWidth="1"/>
    <x:col min="29" max="29" width="38" hidden="0" customWidth="1"/>
  </x:cols>
  <x:sheetData>
    <x:row r="1" ht="28" customHeight="1">
      <x:c r="A1" s="20" t="str">
        <x:v>Applications Tracker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Application ID</x:v>
      </x:c>
      <x:c r="B2" s="24" t="str">
        <x:v>Date Added</x:v>
      </x:c>
      <x:c r="C2" s="24" t="str">
        <x:v>Company</x:v>
      </x:c>
      <x:c r="D2" s="24" t="str">
        <x:v>Role Title</x:v>
      </x:c>
      <x:c r="E2" s="24" t="str">
        <x:v>Role Family</x:v>
      </x:c>
      <x:c r="F2" s="24" t="str">
        <x:v>Priority</x:v>
      </x:c>
      <x:c r="G2" s="24" t="str">
        <x:v>Status</x:v>
      </x:c>
      <x:c r="H2" s="24" t="str">
        <x:v>Source</x:v>
      </x:c>
      <x:c r="I2" s="24" t="str">
        <x:v>Job URL</x:v>
      </x:c>
      <x:c r="J2" s="24" t="str">
        <x:v>Remote Scope</x:v>
      </x:c>
      <x:c r="K2" s="24" t="str">
        <x:v>Contractor Option</x:v>
      </x:c>
      <x:c r="L2" s="24" t="str">
        <x:v>Work Auth Scope</x:v>
      </x:c>
      <x:c r="M2" s="24" t="str">
        <x:v>Region</x:v>
      </x:c>
      <x:c r="N2" s="24" t="str">
        <x:v>Salary Min USD/mo</x:v>
      </x:c>
      <x:c r="O2" s="24" t="str">
        <x:v>Salary Max USD/mo</x:v>
      </x:c>
      <x:c r="P2" s="24" t="str">
        <x:v>CV Variant</x:v>
      </x:c>
      <x:c r="Q2" s="24" t="str">
        <x:v>Portfolio Link</x:v>
      </x:c>
      <x:c r="R2" s="24" t="str">
        <x:v>Contact Person</x:v>
      </x:c>
      <x:c r="S2" s="24" t="str">
        <x:v>Next Follow-up</x:v>
      </x:c>
      <x:c r="T2" s="24" t="str">
        <x:v>Last Action Date</x:v>
      </x:c>
      <x:c r="U2" s="24" t="str">
        <x:v>Response</x:v>
      </x:c>
      <x:c r="V2" s="24" t="str">
        <x:v>Interview Stage</x:v>
      </x:c>
      <x:c r="W2" s="24" t="str">
        <x:v>Rejection Reason</x:v>
      </x:c>
      <x:c r="X2" s="24" t="str">
        <x:v>Fit</x:v>
      </x:c>
      <x:c r="Y2" s="24" t="str">
        <x:v>Probability</x:v>
      </x:c>
      <x:c r="Z2" s="24" t="str">
        <x:v>Compensation</x:v>
      </x:c>
      <x:c r="AA2" s="24" t="str">
        <x:v>Portfolio Fit</x:v>
      </x:c>
      <x:c r="AB2" s="24" t="str">
        <x:v>Weighted Score</x:v>
      </x:c>
      <x:c r="AC2" s="24" t="str">
        <x:v>Notes</x:v>
      </x:c>
    </x:row>
    <x:row r="3">
      <x:c r="A3" s="25" t="str">
        <x:v>APP-001</x:v>
      </x:c>
      <x:c r="B3" s="28" t="n">
        <x:v>46184.85426842592</x:v>
      </x:c>
      <x:c r="C3" s="25" t="str">
        <x:v>Example A-Priority Co</x:v>
      </x:c>
      <x:c r="D3" s="25" t="str">
        <x:v>Unity WebGL Developer</x:v>
      </x:c>
      <x:c r="E3" s="25" t="str">
        <x:v>Unity WebGL / Interactive 3D</x:v>
      </x:c>
      <x:c r="F3" s="25" t="str">
        <x:v>A</x:v>
      </x:c>
      <x:c r="G3" s="25" t="str">
        <x:v>Not Started</x:v>
      </x:c>
      <x:c r="H3" s="25" t="str">
        <x:v>LinkedIn</x:v>
      </x:c>
      <x:c r="I3" s="25" t="str">
        <x:v>[job URL]</x:v>
      </x:c>
      <x:c r="J3" s="25" t="str">
        <x:v>Worldwide</x:v>
      </x:c>
      <x:c r="K3" s="25" t="str">
        <x:v>Medium</x:v>
      </x:c>
      <x:c r="L3" s="25" t="str">
        <x:v>Contractor from Colombia</x:v>
      </x:c>
      <x:c r="M3" s="25" t="str">
        <x:v>US / Global</x:v>
      </x:c>
      <x:c r="N3" s="30" t="n">
        <x:v>2500</x:v>
      </x:c>
      <x:c r="O3" s="30" t="n">
        <x:v>4500</x:v>
      </x:c>
      <x:c r="P3" s="25" t="str">
        <x:v>Unity WebGL CV</x:v>
      </x:c>
      <x:c r="Q3" s="25" t="str">
        <x:v>[portfolio URL]</x:v>
      </x:c>
      <x:c r="R3" s="25" t="str">
        <x:v>[contact]</x:v>
      </x:c>
      <x:c r="S3" s="28" t="n">
        <x:v>46189.85426842592</x:v>
      </x:c>
      <x:c r="T3" s="28" t="n">
        <x:v>46184.85426842592</x:v>
      </x:c>
      <x:c r="U3" s="25" t="str">
        <x:v>No response</x:v>
      </x:c>
      <x:c r="V3" s="25" t="str">
        <x:v>None</x:v>
      </x:c>
      <x:c r="W3" s="25" t="str"/>
      <x:c r="X3" s="32" t="n">
        <x:v>5</x:v>
      </x:c>
      <x:c r="Y3" s="32" t="n">
        <x:v>4</x:v>
      </x:c>
      <x:c r="Z3" s="32" t="n">
        <x:v>4</x:v>
      </x:c>
      <x:c r="AA3" s="32" t="n">
        <x:v>5</x:v>
      </x:c>
      <x:c r="AB3" s="32" t="n">
        <x:f>IF(COUNTA(X3:AA3)=0,"",ROUND((X3*0.35)+(Y3*0.20)+(Z3*0.20)+(AA3*0.25),2))</x:f>
        <x:v>4.6</x:v>
      </x:c>
      <x:c r="AC3" s="25" t="str">
        <x:v>Replace sample row.</x:v>
      </x:c>
    </x:row>
    <x:row r="4">
      <x:c r="A4" s="25" t="str">
        <x:v>APP-002</x:v>
      </x:c>
      <x:c r="B4" s="28" t="n">
        <x:v>46184.85426842592</x:v>
      </x:c>
      <x:c r="C4" s="25" t="str">
        <x:v>Example Digital Twin Co</x:v>
      </x:c>
      <x:c r="D4" s="25" t="str">
        <x:v>Technical Visualization Developer</x:v>
      </x:c>
      <x:c r="E4" s="25" t="str">
        <x:v>Technical Visualization / Digital Twin</x:v>
      </x:c>
      <x:c r="F4" s="25" t="str">
        <x:v>A</x:v>
      </x:c>
      <x:c r="G4" s="25" t="str">
        <x:v>Applied</x:v>
      </x:c>
      <x:c r="H4" s="25" t="str">
        <x:v>Company Careers</x:v>
      </x:c>
      <x:c r="I4" s="25" t="str">
        <x:v>[job URL]</x:v>
      </x:c>
      <x:c r="J4" s="25" t="str">
        <x:v>EU-only</x:v>
      </x:c>
      <x:c r="K4" s="25" t="str">
        <x:v>Unknown</x:v>
      </x:c>
      <x:c r="L4" s="25" t="str">
        <x:v>Requires EU authorization</x:v>
      </x:c>
      <x:c r="M4" s="25" t="str">
        <x:v>Germany</x:v>
      </x:c>
      <x:c r="N4" s="30" t="n">
        <x:v>3000</x:v>
      </x:c>
      <x:c r="O4" s="30" t="n">
        <x:v>5500</x:v>
      </x:c>
      <x:c r="P4" s="25" t="str">
        <x:v>Technical Visualization CV</x:v>
      </x:c>
      <x:c r="Q4" s="25" t="str">
        <x:v>[TwinSight URL]</x:v>
      </x:c>
      <x:c r="R4" s="25" t="str">
        <x:v>[contact]</x:v>
      </x:c>
      <x:c r="S4" s="28" t="n">
        <x:v>46188.85426842592</x:v>
      </x:c>
      <x:c r="T4" s="28" t="n">
        <x:v>46184.85426842592</x:v>
      </x:c>
      <x:c r="U4" s="25" t="str">
        <x:v>Pending</x:v>
      </x:c>
      <x:c r="V4" s="25" t="str">
        <x:v>None</x:v>
      </x:c>
      <x:c r="W4" s="25" t="str"/>
      <x:c r="X4" s="32" t="n">
        <x:v>5</x:v>
      </x:c>
      <x:c r="Y4" s="32" t="n">
        <x:v>2</x:v>
      </x:c>
      <x:c r="Z4" s="32" t="n">
        <x:v>4</x:v>
      </x:c>
      <x:c r="AA4" s="32" t="n">
        <x:v>5</x:v>
      </x:c>
      <x:c r="AB4" s="32" t="n">
        <x:f>IF(COUNTA(X4:AA4)=0,"",ROUND((X4*0.35)+(Y4*0.20)+(Z4*0.20)+(AA4*0.25),2))</x:f>
        <x:v>4.2</x:v>
      </x:c>
      <x:c r="AC4" s="25" t="str">
        <x:v>Future EU route may help.</x:v>
      </x:c>
    </x:row>
    <x:row r="5">
      <x:c r="A5" s="25"/>
      <x:c r="B5" s="28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30"/>
      <x:c r="O5" s="30"/>
      <x:c r="P5" s="25"/>
      <x:c r="Q5" s="25"/>
      <x:c r="R5" s="25"/>
      <x:c r="S5" s="28"/>
      <x:c r="T5" s="28"/>
      <x:c r="U5" s="25"/>
      <x:c r="V5" s="25"/>
      <x:c r="W5" s="25"/>
      <x:c r="X5" s="32"/>
      <x:c r="Y5" s="32"/>
      <x:c r="Z5" s="32"/>
      <x:c r="AA5" s="32"/>
      <x:c r="AB5" s="32" t="str">
        <x:f>IF(COUNTA(X5:AA5)=0,"",ROUND((X5*0.35)+(Y5*0.20)+(Z5*0.20)+(AA5*0.25),2))</x:f>
      </x:c>
      <x:c r="AC5" s="25"/>
    </x:row>
    <x:row r="6">
      <x:c r="A6" s="25"/>
      <x:c r="B6" s="28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30"/>
      <x:c r="O6" s="30"/>
      <x:c r="P6" s="25"/>
      <x:c r="Q6" s="25"/>
      <x:c r="R6" s="25"/>
      <x:c r="S6" s="28"/>
      <x:c r="T6" s="28"/>
      <x:c r="U6" s="25"/>
      <x:c r="V6" s="25"/>
      <x:c r="W6" s="25"/>
      <x:c r="X6" s="32"/>
      <x:c r="Y6" s="32"/>
      <x:c r="Z6" s="32"/>
      <x:c r="AA6" s="32"/>
      <x:c r="AB6" s="32" t="str">
        <x:f>IF(COUNTA(X6:AA6)=0,"",ROUND((X6*0.35)+(Y6*0.20)+(Z6*0.20)+(AA6*0.25),2))</x:f>
      </x:c>
      <x:c r="AC6" s="25"/>
    </x:row>
    <x:row r="7">
      <x:c r="A7" s="25"/>
      <x:c r="B7" s="28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30"/>
      <x:c r="O7" s="30"/>
      <x:c r="P7" s="25"/>
      <x:c r="Q7" s="25"/>
      <x:c r="R7" s="25"/>
      <x:c r="S7" s="28"/>
      <x:c r="T7" s="28"/>
      <x:c r="U7" s="25"/>
      <x:c r="V7" s="25"/>
      <x:c r="W7" s="25"/>
      <x:c r="X7" s="32"/>
      <x:c r="Y7" s="32"/>
      <x:c r="Z7" s="32"/>
      <x:c r="AA7" s="32"/>
      <x:c r="AB7" s="32" t="str">
        <x:f>IF(COUNTA(X7:AA7)=0,"",ROUND((X7*0.35)+(Y7*0.20)+(Z7*0.20)+(AA7*0.25),2))</x:f>
      </x:c>
      <x:c r="AC7" s="25"/>
    </x:row>
    <x:row r="8">
      <x:c r="A8" s="25"/>
      <x:c r="B8" s="28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30"/>
      <x:c r="O8" s="30"/>
      <x:c r="P8" s="25"/>
      <x:c r="Q8" s="25"/>
      <x:c r="R8" s="25"/>
      <x:c r="S8" s="28"/>
      <x:c r="T8" s="28"/>
      <x:c r="U8" s="25"/>
      <x:c r="V8" s="25"/>
      <x:c r="W8" s="25"/>
      <x:c r="X8" s="32"/>
      <x:c r="Y8" s="32"/>
      <x:c r="Z8" s="32"/>
      <x:c r="AA8" s="32"/>
      <x:c r="AB8" s="32" t="str">
        <x:f>IF(COUNTA(X8:AA8)=0,"",ROUND((X8*0.35)+(Y8*0.20)+(Z8*0.20)+(AA8*0.25),2))</x:f>
      </x:c>
      <x:c r="AC8" s="25"/>
    </x:row>
    <x:row r="9">
      <x:c r="A9" s="25"/>
      <x:c r="B9" s="28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30"/>
      <x:c r="O9" s="30"/>
      <x:c r="P9" s="25"/>
      <x:c r="Q9" s="25"/>
      <x:c r="R9" s="25"/>
      <x:c r="S9" s="28"/>
      <x:c r="T9" s="28"/>
      <x:c r="U9" s="25"/>
      <x:c r="V9" s="25"/>
      <x:c r="W9" s="25"/>
      <x:c r="X9" s="32"/>
      <x:c r="Y9" s="32"/>
      <x:c r="Z9" s="32"/>
      <x:c r="AA9" s="32"/>
      <x:c r="AB9" s="32" t="str">
        <x:f>IF(COUNTA(X9:AA9)=0,"",ROUND((X9*0.35)+(Y9*0.20)+(Z9*0.20)+(AA9*0.25),2))</x:f>
      </x:c>
      <x:c r="AC9" s="25"/>
    </x:row>
    <x:row r="10">
      <x:c r="A10" s="25"/>
      <x:c r="B10" s="28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30"/>
      <x:c r="O10" s="30"/>
      <x:c r="P10" s="25"/>
      <x:c r="Q10" s="25"/>
      <x:c r="R10" s="25"/>
      <x:c r="S10" s="28"/>
      <x:c r="T10" s="28"/>
      <x:c r="U10" s="25"/>
      <x:c r="V10" s="25"/>
      <x:c r="W10" s="25"/>
      <x:c r="X10" s="32"/>
      <x:c r="Y10" s="32"/>
      <x:c r="Z10" s="32"/>
      <x:c r="AA10" s="32"/>
      <x:c r="AB10" s="32" t="str">
        <x:f>IF(COUNTA(X10:AA10)=0,"",ROUND((X10*0.35)+(Y10*0.20)+(Z10*0.20)+(AA10*0.25),2))</x:f>
      </x:c>
      <x:c r="AC10" s="25"/>
    </x:row>
    <x:row r="11">
      <x:c r="A11" s="25"/>
      <x:c r="B11" s="28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30"/>
      <x:c r="O11" s="30"/>
      <x:c r="P11" s="25"/>
      <x:c r="Q11" s="25"/>
      <x:c r="R11" s="25"/>
      <x:c r="S11" s="28"/>
      <x:c r="T11" s="28"/>
      <x:c r="U11" s="25"/>
      <x:c r="V11" s="25"/>
      <x:c r="W11" s="25"/>
      <x:c r="X11" s="32"/>
      <x:c r="Y11" s="32"/>
      <x:c r="Z11" s="32"/>
      <x:c r="AA11" s="32"/>
      <x:c r="AB11" s="32" t="str">
        <x:f>IF(COUNTA(X11:AA11)=0,"",ROUND((X11*0.35)+(Y11*0.20)+(Z11*0.20)+(AA11*0.25),2))</x:f>
      </x:c>
      <x:c r="AC11" s="25"/>
    </x:row>
    <x:row r="12">
      <x:c r="A12" s="25"/>
      <x:c r="B12" s="28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30"/>
      <x:c r="O12" s="30"/>
      <x:c r="P12" s="25"/>
      <x:c r="Q12" s="25"/>
      <x:c r="R12" s="25"/>
      <x:c r="S12" s="28"/>
      <x:c r="T12" s="28"/>
      <x:c r="U12" s="25"/>
      <x:c r="V12" s="25"/>
      <x:c r="W12" s="25"/>
      <x:c r="X12" s="32"/>
      <x:c r="Y12" s="32"/>
      <x:c r="Z12" s="32"/>
      <x:c r="AA12" s="32"/>
      <x:c r="AB12" s="32" t="str">
        <x:f>IF(COUNTA(X12:AA12)=0,"",ROUND((X12*0.35)+(Y12*0.20)+(Z12*0.20)+(AA12*0.25),2))</x:f>
      </x:c>
      <x:c r="AC12" s="25"/>
    </x:row>
    <x:row r="13">
      <x:c r="A13" s="25"/>
      <x:c r="B13" s="28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30"/>
      <x:c r="O13" s="30"/>
      <x:c r="P13" s="25"/>
      <x:c r="Q13" s="25"/>
      <x:c r="R13" s="25"/>
      <x:c r="S13" s="28"/>
      <x:c r="T13" s="28"/>
      <x:c r="U13" s="25"/>
      <x:c r="V13" s="25"/>
      <x:c r="W13" s="25"/>
      <x:c r="X13" s="32"/>
      <x:c r="Y13" s="32"/>
      <x:c r="Z13" s="32"/>
      <x:c r="AA13" s="32"/>
      <x:c r="AB13" s="32" t="str">
        <x:f>IF(COUNTA(X13:AA13)=0,"",ROUND((X13*0.35)+(Y13*0.20)+(Z13*0.20)+(AA13*0.25),2))</x:f>
      </x:c>
      <x:c r="AC13" s="25"/>
    </x:row>
    <x:row r="14">
      <x:c r="A14" s="25"/>
      <x:c r="B14" s="28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30"/>
      <x:c r="O14" s="30"/>
      <x:c r="P14" s="25"/>
      <x:c r="Q14" s="25"/>
      <x:c r="R14" s="25"/>
      <x:c r="S14" s="28"/>
      <x:c r="T14" s="28"/>
      <x:c r="U14" s="25"/>
      <x:c r="V14" s="25"/>
      <x:c r="W14" s="25"/>
      <x:c r="X14" s="32"/>
      <x:c r="Y14" s="32"/>
      <x:c r="Z14" s="32"/>
      <x:c r="AA14" s="32"/>
      <x:c r="AB14" s="32" t="str">
        <x:f>IF(COUNTA(X14:AA14)=0,"",ROUND((X14*0.35)+(Y14*0.20)+(Z14*0.20)+(AA14*0.25),2))</x:f>
      </x:c>
      <x:c r="AC14" s="25"/>
    </x:row>
    <x:row r="15">
      <x:c r="A15" s="25"/>
      <x:c r="B15" s="28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30"/>
      <x:c r="O15" s="30"/>
      <x:c r="P15" s="25"/>
      <x:c r="Q15" s="25"/>
      <x:c r="R15" s="25"/>
      <x:c r="S15" s="28"/>
      <x:c r="T15" s="28"/>
      <x:c r="U15" s="25"/>
      <x:c r="V15" s="25"/>
      <x:c r="W15" s="25"/>
      <x:c r="X15" s="32"/>
      <x:c r="Y15" s="32"/>
      <x:c r="Z15" s="32"/>
      <x:c r="AA15" s="32"/>
      <x:c r="AB15" s="32" t="str">
        <x:f>IF(COUNTA(X15:AA15)=0,"",ROUND((X15*0.35)+(Y15*0.20)+(Z15*0.20)+(AA15*0.25),2))</x:f>
      </x:c>
      <x:c r="AC15" s="25"/>
    </x:row>
    <x:row r="16">
      <x:c r="A16" s="25"/>
      <x:c r="B16" s="28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30"/>
      <x:c r="O16" s="30"/>
      <x:c r="P16" s="25"/>
      <x:c r="Q16" s="25"/>
      <x:c r="R16" s="25"/>
      <x:c r="S16" s="28"/>
      <x:c r="T16" s="28"/>
      <x:c r="U16" s="25"/>
      <x:c r="V16" s="25"/>
      <x:c r="W16" s="25"/>
      <x:c r="X16" s="32"/>
      <x:c r="Y16" s="32"/>
      <x:c r="Z16" s="32"/>
      <x:c r="AA16" s="32"/>
      <x:c r="AB16" s="32" t="str">
        <x:f>IF(COUNTA(X16:AA16)=0,"",ROUND((X16*0.35)+(Y16*0.20)+(Z16*0.20)+(AA16*0.25),2))</x:f>
      </x:c>
      <x:c r="AC16" s="25"/>
    </x:row>
    <x:row r="17">
      <x:c r="A17" s="25"/>
      <x:c r="B17" s="28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30"/>
      <x:c r="O17" s="30"/>
      <x:c r="P17" s="25"/>
      <x:c r="Q17" s="25"/>
      <x:c r="R17" s="25"/>
      <x:c r="S17" s="28"/>
      <x:c r="T17" s="28"/>
      <x:c r="U17" s="25"/>
      <x:c r="V17" s="25"/>
      <x:c r="W17" s="25"/>
      <x:c r="X17" s="32"/>
      <x:c r="Y17" s="32"/>
      <x:c r="Z17" s="32"/>
      <x:c r="AA17" s="32"/>
      <x:c r="AB17" s="32" t="str">
        <x:f>IF(COUNTA(X17:AA17)=0,"",ROUND((X17*0.35)+(Y17*0.20)+(Z17*0.20)+(AA17*0.25),2))</x:f>
      </x:c>
      <x:c r="AC17" s="25"/>
    </x:row>
    <x:row r="18">
      <x:c r="A18" s="25"/>
      <x:c r="B18" s="28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30"/>
      <x:c r="O18" s="30"/>
      <x:c r="P18" s="25"/>
      <x:c r="Q18" s="25"/>
      <x:c r="R18" s="25"/>
      <x:c r="S18" s="28"/>
      <x:c r="T18" s="28"/>
      <x:c r="U18" s="25"/>
      <x:c r="V18" s="25"/>
      <x:c r="W18" s="25"/>
      <x:c r="X18" s="32"/>
      <x:c r="Y18" s="32"/>
      <x:c r="Z18" s="32"/>
      <x:c r="AA18" s="32"/>
      <x:c r="AB18" s="32" t="str">
        <x:f>IF(COUNTA(X18:AA18)=0,"",ROUND((X18*0.35)+(Y18*0.20)+(Z18*0.20)+(AA18*0.25),2))</x:f>
      </x:c>
      <x:c r="AC18" s="25"/>
    </x:row>
    <x:row r="19">
      <x:c r="A19" s="25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30"/>
      <x:c r="O19" s="30"/>
      <x:c r="P19" s="25"/>
      <x:c r="Q19" s="25"/>
      <x:c r="R19" s="25"/>
      <x:c r="S19" s="28"/>
      <x:c r="T19" s="28"/>
      <x:c r="U19" s="25"/>
      <x:c r="V19" s="25"/>
      <x:c r="W19" s="25"/>
      <x:c r="X19" s="32"/>
      <x:c r="Y19" s="32"/>
      <x:c r="Z19" s="32"/>
      <x:c r="AA19" s="32"/>
      <x:c r="AB19" s="32" t="str">
        <x:f>IF(COUNTA(X19:AA19)=0,"",ROUND((X19*0.35)+(Y19*0.20)+(Z19*0.20)+(AA19*0.25),2))</x:f>
      </x:c>
      <x:c r="AC19" s="25"/>
    </x:row>
    <x:row r="20">
      <x:c r="A20" s="25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30"/>
      <x:c r="O20" s="30"/>
      <x:c r="P20" s="25"/>
      <x:c r="Q20" s="25"/>
      <x:c r="R20" s="25"/>
      <x:c r="S20" s="28"/>
      <x:c r="T20" s="28"/>
      <x:c r="U20" s="25"/>
      <x:c r="V20" s="25"/>
      <x:c r="W20" s="25"/>
      <x:c r="X20" s="32"/>
      <x:c r="Y20" s="32"/>
      <x:c r="Z20" s="32"/>
      <x:c r="AA20" s="32"/>
      <x:c r="AB20" s="32" t="str">
        <x:f>IF(COUNTA(X20:AA20)=0,"",ROUND((X20*0.35)+(Y20*0.20)+(Z20*0.20)+(AA20*0.25),2))</x:f>
      </x:c>
      <x:c r="AC20" s="25"/>
    </x:row>
    <x:row r="21">
      <x:c r="A21" s="25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30"/>
      <x:c r="O21" s="30"/>
      <x:c r="P21" s="25"/>
      <x:c r="Q21" s="25"/>
      <x:c r="R21" s="25"/>
      <x:c r="S21" s="28"/>
      <x:c r="T21" s="28"/>
      <x:c r="U21" s="25"/>
      <x:c r="V21" s="25"/>
      <x:c r="W21" s="25"/>
      <x:c r="X21" s="32"/>
      <x:c r="Y21" s="32"/>
      <x:c r="Z21" s="32"/>
      <x:c r="AA21" s="32"/>
      <x:c r="AB21" s="32" t="str">
        <x:f>IF(COUNTA(X21:AA21)=0,"",ROUND((X21*0.35)+(Y21*0.20)+(Z21*0.20)+(AA21*0.25),2))</x:f>
      </x:c>
      <x:c r="AC21" s="25"/>
    </x:row>
    <x:row r="22">
      <x:c r="A22" s="25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30"/>
      <x:c r="O22" s="30"/>
      <x:c r="P22" s="25"/>
      <x:c r="Q22" s="25"/>
      <x:c r="R22" s="25"/>
      <x:c r="S22" s="28"/>
      <x:c r="T22" s="28"/>
      <x:c r="U22" s="25"/>
      <x:c r="V22" s="25"/>
      <x:c r="W22" s="25"/>
      <x:c r="X22" s="32"/>
      <x:c r="Y22" s="32"/>
      <x:c r="Z22" s="32"/>
      <x:c r="AA22" s="32"/>
      <x:c r="AB22" s="32" t="str">
        <x:f>IF(COUNTA(X22:AA22)=0,"",ROUND((X22*0.35)+(Y22*0.20)+(Z22*0.20)+(AA22*0.25),2))</x:f>
      </x:c>
      <x:c r="AC22" s="25"/>
    </x:row>
    <x:row r="23">
      <x:c r="A23" s="25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30"/>
      <x:c r="O23" s="30"/>
      <x:c r="P23" s="25"/>
      <x:c r="Q23" s="25"/>
      <x:c r="R23" s="25"/>
      <x:c r="S23" s="28"/>
      <x:c r="T23" s="28"/>
      <x:c r="U23" s="25"/>
      <x:c r="V23" s="25"/>
      <x:c r="W23" s="25"/>
      <x:c r="X23" s="32"/>
      <x:c r="Y23" s="32"/>
      <x:c r="Z23" s="32"/>
      <x:c r="AA23" s="32"/>
      <x:c r="AB23" s="32" t="str">
        <x:f>IF(COUNTA(X23:AA23)=0,"",ROUND((X23*0.35)+(Y23*0.20)+(Z23*0.20)+(AA23*0.25),2))</x:f>
      </x:c>
      <x:c r="AC23" s="25"/>
    </x:row>
    <x:row r="24">
      <x:c r="A24" s="25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30"/>
      <x:c r="O24" s="30"/>
      <x:c r="P24" s="25"/>
      <x:c r="Q24" s="25"/>
      <x:c r="R24" s="25"/>
      <x:c r="S24" s="28"/>
      <x:c r="T24" s="28"/>
      <x:c r="U24" s="25"/>
      <x:c r="V24" s="25"/>
      <x:c r="W24" s="25"/>
      <x:c r="X24" s="32"/>
      <x:c r="Y24" s="32"/>
      <x:c r="Z24" s="32"/>
      <x:c r="AA24" s="32"/>
      <x:c r="AB24" s="32" t="str">
        <x:f>IF(COUNTA(X24:AA24)=0,"",ROUND((X24*0.35)+(Y24*0.20)+(Z24*0.20)+(AA24*0.25),2))</x:f>
      </x:c>
      <x:c r="AC24" s="25"/>
    </x:row>
    <x:row r="25">
      <x:c r="A25" s="25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30"/>
      <x:c r="O25" s="30"/>
      <x:c r="P25" s="25"/>
      <x:c r="Q25" s="25"/>
      <x:c r="R25" s="25"/>
      <x:c r="S25" s="28"/>
      <x:c r="T25" s="28"/>
      <x:c r="U25" s="25"/>
      <x:c r="V25" s="25"/>
      <x:c r="W25" s="25"/>
      <x:c r="X25" s="32"/>
      <x:c r="Y25" s="32"/>
      <x:c r="Z25" s="32"/>
      <x:c r="AA25" s="32"/>
      <x:c r="AB25" s="32" t="str">
        <x:f>IF(COUNTA(X25:AA25)=0,"",ROUND((X25*0.35)+(Y25*0.20)+(Z25*0.20)+(AA25*0.25),2))</x:f>
      </x:c>
      <x:c r="AC25" s="25"/>
    </x:row>
    <x:row r="26">
      <x:c r="A26" s="25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30"/>
      <x:c r="O26" s="30"/>
      <x:c r="P26" s="25"/>
      <x:c r="Q26" s="25"/>
      <x:c r="R26" s="25"/>
      <x:c r="S26" s="28"/>
      <x:c r="T26" s="28"/>
      <x:c r="U26" s="25"/>
      <x:c r="V26" s="25"/>
      <x:c r="W26" s="25"/>
      <x:c r="X26" s="32"/>
      <x:c r="Y26" s="32"/>
      <x:c r="Z26" s="32"/>
      <x:c r="AA26" s="32"/>
      <x:c r="AB26" s="32" t="str">
        <x:f>IF(COUNTA(X26:AA26)=0,"",ROUND((X26*0.35)+(Y26*0.20)+(Z26*0.20)+(AA26*0.25),2))</x:f>
      </x:c>
      <x:c r="AC26" s="25"/>
    </x:row>
    <x:row r="27">
      <x:c r="A27" s="25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30"/>
      <x:c r="O27" s="30"/>
      <x:c r="P27" s="25"/>
      <x:c r="Q27" s="25"/>
      <x:c r="R27" s="25"/>
      <x:c r="S27" s="28"/>
      <x:c r="T27" s="28"/>
      <x:c r="U27" s="25"/>
      <x:c r="V27" s="25"/>
      <x:c r="W27" s="25"/>
      <x:c r="X27" s="32"/>
      <x:c r="Y27" s="32"/>
      <x:c r="Z27" s="32"/>
      <x:c r="AA27" s="32"/>
      <x:c r="AB27" s="32" t="str">
        <x:f>IF(COUNTA(X27:AA27)=0,"",ROUND((X27*0.35)+(Y27*0.20)+(Z27*0.20)+(AA27*0.25),2))</x:f>
      </x:c>
      <x:c r="AC27" s="25"/>
    </x:row>
    <x:row r="28">
      <x:c r="A28" s="25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30"/>
      <x:c r="O28" s="30"/>
      <x:c r="P28" s="25"/>
      <x:c r="Q28" s="25"/>
      <x:c r="R28" s="25"/>
      <x:c r="S28" s="28"/>
      <x:c r="T28" s="28"/>
      <x:c r="U28" s="25"/>
      <x:c r="V28" s="25"/>
      <x:c r="W28" s="25"/>
      <x:c r="X28" s="32"/>
      <x:c r="Y28" s="32"/>
      <x:c r="Z28" s="32"/>
      <x:c r="AA28" s="32"/>
      <x:c r="AB28" s="32" t="str">
        <x:f>IF(COUNTA(X28:AA28)=0,"",ROUND((X28*0.35)+(Y28*0.20)+(Z28*0.20)+(AA28*0.25),2))</x:f>
      </x:c>
      <x:c r="AC28" s="25"/>
    </x:row>
    <x:row r="29">
      <x:c r="A29" s="25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30"/>
      <x:c r="O29" s="30"/>
      <x:c r="P29" s="25"/>
      <x:c r="Q29" s="25"/>
      <x:c r="R29" s="25"/>
      <x:c r="S29" s="28"/>
      <x:c r="T29" s="28"/>
      <x:c r="U29" s="25"/>
      <x:c r="V29" s="25"/>
      <x:c r="W29" s="25"/>
      <x:c r="X29" s="32"/>
      <x:c r="Y29" s="32"/>
      <x:c r="Z29" s="32"/>
      <x:c r="AA29" s="32"/>
      <x:c r="AB29" s="32" t="str">
        <x:f>IF(COUNTA(X29:AA29)=0,"",ROUND((X29*0.35)+(Y29*0.20)+(Z29*0.20)+(AA29*0.25),2))</x:f>
      </x:c>
      <x:c r="AC29" s="25"/>
    </x:row>
    <x:row r="30">
      <x:c r="A30" s="25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30"/>
      <x:c r="O30" s="30"/>
      <x:c r="P30" s="25"/>
      <x:c r="Q30" s="25"/>
      <x:c r="R30" s="25"/>
      <x:c r="S30" s="28"/>
      <x:c r="T30" s="28"/>
      <x:c r="U30" s="25"/>
      <x:c r="V30" s="25"/>
      <x:c r="W30" s="25"/>
      <x:c r="X30" s="32"/>
      <x:c r="Y30" s="32"/>
      <x:c r="Z30" s="32"/>
      <x:c r="AA30" s="32"/>
      <x:c r="AB30" s="32" t="str">
        <x:f>IF(COUNTA(X30:AA30)=0,"",ROUND((X30*0.35)+(Y30*0.20)+(Z30*0.20)+(AA30*0.25),2))</x:f>
      </x:c>
      <x:c r="AC30" s="25"/>
    </x:row>
    <x:row r="31">
      <x:c r="A31" s="25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30"/>
      <x:c r="O31" s="30"/>
      <x:c r="P31" s="25"/>
      <x:c r="Q31" s="25"/>
      <x:c r="R31" s="25"/>
      <x:c r="S31" s="28"/>
      <x:c r="T31" s="28"/>
      <x:c r="U31" s="25"/>
      <x:c r="V31" s="25"/>
      <x:c r="W31" s="25"/>
      <x:c r="X31" s="32"/>
      <x:c r="Y31" s="32"/>
      <x:c r="Z31" s="32"/>
      <x:c r="AA31" s="32"/>
      <x:c r="AB31" s="32" t="str">
        <x:f>IF(COUNTA(X31:AA31)=0,"",ROUND((X31*0.35)+(Y31*0.20)+(Z31*0.20)+(AA31*0.25),2))</x:f>
      </x:c>
      <x:c r="AC31" s="25"/>
    </x:row>
    <x:row r="32">
      <x:c r="A32" s="25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30"/>
      <x:c r="O32" s="30"/>
      <x:c r="P32" s="25"/>
      <x:c r="Q32" s="25"/>
      <x:c r="R32" s="25"/>
      <x:c r="S32" s="28"/>
      <x:c r="T32" s="28"/>
      <x:c r="U32" s="25"/>
      <x:c r="V32" s="25"/>
      <x:c r="W32" s="25"/>
      <x:c r="X32" s="32"/>
      <x:c r="Y32" s="32"/>
      <x:c r="Z32" s="32"/>
      <x:c r="AA32" s="32"/>
      <x:c r="AB32" s="32" t="str">
        <x:f>IF(COUNTA(X32:AA32)=0,"",ROUND((X32*0.35)+(Y32*0.20)+(Z32*0.20)+(AA32*0.25),2))</x:f>
      </x:c>
      <x:c r="AC32" s="25"/>
    </x:row>
    <x:row r="33">
      <x:c r="A33" s="25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30"/>
      <x:c r="O33" s="30"/>
      <x:c r="P33" s="25"/>
      <x:c r="Q33" s="25"/>
      <x:c r="R33" s="25"/>
      <x:c r="S33" s="28"/>
      <x:c r="T33" s="28"/>
      <x:c r="U33" s="25"/>
      <x:c r="V33" s="25"/>
      <x:c r="W33" s="25"/>
      <x:c r="X33" s="32"/>
      <x:c r="Y33" s="32"/>
      <x:c r="Z33" s="32"/>
      <x:c r="AA33" s="32"/>
      <x:c r="AB33" s="32" t="str">
        <x:f>IF(COUNTA(X33:AA33)=0,"",ROUND((X33*0.35)+(Y33*0.20)+(Z33*0.20)+(AA33*0.25),2))</x:f>
      </x:c>
      <x:c r="AC33" s="25"/>
    </x:row>
    <x:row r="34">
      <x:c r="A34" s="25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30"/>
      <x:c r="O34" s="30"/>
      <x:c r="P34" s="25"/>
      <x:c r="Q34" s="25"/>
      <x:c r="R34" s="25"/>
      <x:c r="S34" s="28"/>
      <x:c r="T34" s="28"/>
      <x:c r="U34" s="25"/>
      <x:c r="V34" s="25"/>
      <x:c r="W34" s="25"/>
      <x:c r="X34" s="32"/>
      <x:c r="Y34" s="32"/>
      <x:c r="Z34" s="32"/>
      <x:c r="AA34" s="32"/>
      <x:c r="AB34" s="32" t="str">
        <x:f>IF(COUNTA(X34:AA34)=0,"",ROUND((X34*0.35)+(Y34*0.20)+(Z34*0.20)+(AA34*0.25),2))</x:f>
      </x:c>
      <x:c r="AC34" s="25"/>
    </x:row>
    <x:row r="35">
      <x:c r="A35" s="25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30"/>
      <x:c r="O35" s="30"/>
      <x:c r="P35" s="25"/>
      <x:c r="Q35" s="25"/>
      <x:c r="R35" s="25"/>
      <x:c r="S35" s="28"/>
      <x:c r="T35" s="28"/>
      <x:c r="U35" s="25"/>
      <x:c r="V35" s="25"/>
      <x:c r="W35" s="25"/>
      <x:c r="X35" s="32"/>
      <x:c r="Y35" s="32"/>
      <x:c r="Z35" s="32"/>
      <x:c r="AA35" s="32"/>
      <x:c r="AB35" s="32" t="str">
        <x:f>IF(COUNTA(X35:AA35)=0,"",ROUND((X35*0.35)+(Y35*0.20)+(Z35*0.20)+(AA35*0.25),2))</x:f>
      </x:c>
      <x:c r="AC35" s="25"/>
    </x:row>
    <x:row r="36">
      <x:c r="A36" s="25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30"/>
      <x:c r="O36" s="30"/>
      <x:c r="P36" s="25"/>
      <x:c r="Q36" s="25"/>
      <x:c r="R36" s="25"/>
      <x:c r="S36" s="28"/>
      <x:c r="T36" s="28"/>
      <x:c r="U36" s="25"/>
      <x:c r="V36" s="25"/>
      <x:c r="W36" s="25"/>
      <x:c r="X36" s="32"/>
      <x:c r="Y36" s="32"/>
      <x:c r="Z36" s="32"/>
      <x:c r="AA36" s="32"/>
      <x:c r="AB36" s="32" t="str">
        <x:f>IF(COUNTA(X36:AA36)=0,"",ROUND((X36*0.35)+(Y36*0.20)+(Z36*0.20)+(AA36*0.25),2))</x:f>
      </x:c>
      <x:c r="AC36" s="25"/>
    </x:row>
    <x:row r="37">
      <x:c r="A37" s="25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30"/>
      <x:c r="O37" s="30"/>
      <x:c r="P37" s="25"/>
      <x:c r="Q37" s="25"/>
      <x:c r="R37" s="25"/>
      <x:c r="S37" s="28"/>
      <x:c r="T37" s="28"/>
      <x:c r="U37" s="25"/>
      <x:c r="V37" s="25"/>
      <x:c r="W37" s="25"/>
      <x:c r="X37" s="32"/>
      <x:c r="Y37" s="32"/>
      <x:c r="Z37" s="32"/>
      <x:c r="AA37" s="32"/>
      <x:c r="AB37" s="32" t="str">
        <x:f>IF(COUNTA(X37:AA37)=0,"",ROUND((X37*0.35)+(Y37*0.20)+(Z37*0.20)+(AA37*0.25),2))</x:f>
      </x:c>
      <x:c r="AC37" s="25"/>
    </x:row>
    <x:row r="38">
      <x:c r="A38" s="25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30"/>
      <x:c r="O38" s="30"/>
      <x:c r="P38" s="25"/>
      <x:c r="Q38" s="25"/>
      <x:c r="R38" s="25"/>
      <x:c r="S38" s="28"/>
      <x:c r="T38" s="28"/>
      <x:c r="U38" s="25"/>
      <x:c r="V38" s="25"/>
      <x:c r="W38" s="25"/>
      <x:c r="X38" s="32"/>
      <x:c r="Y38" s="32"/>
      <x:c r="Z38" s="32"/>
      <x:c r="AA38" s="32"/>
      <x:c r="AB38" s="32" t="str">
        <x:f>IF(COUNTA(X38:AA38)=0,"",ROUND((X38*0.35)+(Y38*0.20)+(Z38*0.20)+(AA38*0.25),2))</x:f>
      </x:c>
      <x:c r="AC38" s="25"/>
    </x:row>
    <x:row r="39">
      <x:c r="A39" s="25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30"/>
      <x:c r="O39" s="30"/>
      <x:c r="P39" s="25"/>
      <x:c r="Q39" s="25"/>
      <x:c r="R39" s="25"/>
      <x:c r="S39" s="28"/>
      <x:c r="T39" s="28"/>
      <x:c r="U39" s="25"/>
      <x:c r="V39" s="25"/>
      <x:c r="W39" s="25"/>
      <x:c r="X39" s="32"/>
      <x:c r="Y39" s="32"/>
      <x:c r="Z39" s="32"/>
      <x:c r="AA39" s="32"/>
      <x:c r="AB39" s="32" t="str">
        <x:f>IF(COUNTA(X39:AA39)=0,"",ROUND((X39*0.35)+(Y39*0.20)+(Z39*0.20)+(AA39*0.25),2))</x:f>
      </x:c>
      <x:c r="AC39" s="25"/>
    </x:row>
    <x:row r="40">
      <x:c r="A40" s="25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30"/>
      <x:c r="O40" s="30"/>
      <x:c r="P40" s="25"/>
      <x:c r="Q40" s="25"/>
      <x:c r="R40" s="25"/>
      <x:c r="S40" s="28"/>
      <x:c r="T40" s="28"/>
      <x:c r="U40" s="25"/>
      <x:c r="V40" s="25"/>
      <x:c r="W40" s="25"/>
      <x:c r="X40" s="32"/>
      <x:c r="Y40" s="32"/>
      <x:c r="Z40" s="32"/>
      <x:c r="AA40" s="32"/>
      <x:c r="AB40" s="32" t="str">
        <x:f>IF(COUNTA(X40:AA40)=0,"",ROUND((X40*0.35)+(Y40*0.20)+(Z40*0.20)+(AA40*0.25),2))</x:f>
      </x:c>
      <x:c r="AC40" s="25"/>
    </x:row>
    <x:row r="41">
      <x:c r="A41" s="25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30"/>
      <x:c r="O41" s="30"/>
      <x:c r="P41" s="25"/>
      <x:c r="Q41" s="25"/>
      <x:c r="R41" s="25"/>
      <x:c r="S41" s="28"/>
      <x:c r="T41" s="28"/>
      <x:c r="U41" s="25"/>
      <x:c r="V41" s="25"/>
      <x:c r="W41" s="25"/>
      <x:c r="X41" s="32"/>
      <x:c r="Y41" s="32"/>
      <x:c r="Z41" s="32"/>
      <x:c r="AA41" s="32"/>
      <x:c r="AB41" s="32" t="str">
        <x:f>IF(COUNTA(X41:AA41)=0,"",ROUND((X41*0.35)+(Y41*0.20)+(Z41*0.20)+(AA41*0.25),2))</x:f>
      </x:c>
      <x:c r="AC41" s="25"/>
    </x:row>
    <x:row r="42">
      <x:c r="A42" s="25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30"/>
      <x:c r="O42" s="30"/>
      <x:c r="P42" s="25"/>
      <x:c r="Q42" s="25"/>
      <x:c r="R42" s="25"/>
      <x:c r="S42" s="28"/>
      <x:c r="T42" s="28"/>
      <x:c r="U42" s="25"/>
      <x:c r="V42" s="25"/>
      <x:c r="W42" s="25"/>
      <x:c r="X42" s="32"/>
      <x:c r="Y42" s="32"/>
      <x:c r="Z42" s="32"/>
      <x:c r="AA42" s="32"/>
      <x:c r="AB42" s="32" t="str">
        <x:f>IF(COUNTA(X42:AA42)=0,"",ROUND((X42*0.35)+(Y42*0.20)+(Z42*0.20)+(AA42*0.25),2))</x:f>
      </x:c>
      <x:c r="AC42" s="25"/>
    </x:row>
    <x:row r="43">
      <x:c r="A43" s="25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30"/>
      <x:c r="O43" s="30"/>
      <x:c r="P43" s="25"/>
      <x:c r="Q43" s="25"/>
      <x:c r="R43" s="25"/>
      <x:c r="S43" s="28"/>
      <x:c r="T43" s="28"/>
      <x:c r="U43" s="25"/>
      <x:c r="V43" s="25"/>
      <x:c r="W43" s="25"/>
      <x:c r="X43" s="32"/>
      <x:c r="Y43" s="32"/>
      <x:c r="Z43" s="32"/>
      <x:c r="AA43" s="32"/>
      <x:c r="AB43" s="32" t="str">
        <x:f>IF(COUNTA(X43:AA43)=0,"",ROUND((X43*0.35)+(Y43*0.20)+(Z43*0.20)+(AA43*0.25),2))</x:f>
      </x:c>
      <x:c r="AC43" s="25"/>
    </x:row>
    <x:row r="44">
      <x:c r="A44" s="25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30"/>
      <x:c r="O44" s="30"/>
      <x:c r="P44" s="25"/>
      <x:c r="Q44" s="25"/>
      <x:c r="R44" s="25"/>
      <x:c r="S44" s="28"/>
      <x:c r="T44" s="28"/>
      <x:c r="U44" s="25"/>
      <x:c r="V44" s="25"/>
      <x:c r="W44" s="25"/>
      <x:c r="X44" s="32"/>
      <x:c r="Y44" s="32"/>
      <x:c r="Z44" s="32"/>
      <x:c r="AA44" s="32"/>
      <x:c r="AB44" s="32" t="str">
        <x:f>IF(COUNTA(X44:AA44)=0,"",ROUND((X44*0.35)+(Y44*0.20)+(Z44*0.20)+(AA44*0.25),2))</x:f>
      </x:c>
      <x:c r="AC44" s="25"/>
    </x:row>
    <x:row r="45">
      <x:c r="A45" s="25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30"/>
      <x:c r="O45" s="30"/>
      <x:c r="P45" s="25"/>
      <x:c r="Q45" s="25"/>
      <x:c r="R45" s="25"/>
      <x:c r="S45" s="28"/>
      <x:c r="T45" s="28"/>
      <x:c r="U45" s="25"/>
      <x:c r="V45" s="25"/>
      <x:c r="W45" s="25"/>
      <x:c r="X45" s="32"/>
      <x:c r="Y45" s="32"/>
      <x:c r="Z45" s="32"/>
      <x:c r="AA45" s="32"/>
      <x:c r="AB45" s="32" t="str">
        <x:f>IF(COUNTA(X45:AA45)=0,"",ROUND((X45*0.35)+(Y45*0.20)+(Z45*0.20)+(AA45*0.25),2))</x:f>
      </x:c>
      <x:c r="AC45" s="25"/>
    </x:row>
    <x:row r="46">
      <x:c r="A46" s="25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30"/>
      <x:c r="O46" s="30"/>
      <x:c r="P46" s="25"/>
      <x:c r="Q46" s="25"/>
      <x:c r="R46" s="25"/>
      <x:c r="S46" s="28"/>
      <x:c r="T46" s="28"/>
      <x:c r="U46" s="25"/>
      <x:c r="V46" s="25"/>
      <x:c r="W46" s="25"/>
      <x:c r="X46" s="32"/>
      <x:c r="Y46" s="32"/>
      <x:c r="Z46" s="32"/>
      <x:c r="AA46" s="32"/>
      <x:c r="AB46" s="32" t="str">
        <x:f>IF(COUNTA(X46:AA46)=0,"",ROUND((X46*0.35)+(Y46*0.20)+(Z46*0.20)+(AA46*0.25),2))</x:f>
      </x:c>
      <x:c r="AC46" s="25"/>
    </x:row>
    <x:row r="47">
      <x:c r="A47" s="25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30"/>
      <x:c r="O47" s="30"/>
      <x:c r="P47" s="25"/>
      <x:c r="Q47" s="25"/>
      <x:c r="R47" s="25"/>
      <x:c r="S47" s="28"/>
      <x:c r="T47" s="28"/>
      <x:c r="U47" s="25"/>
      <x:c r="V47" s="25"/>
      <x:c r="W47" s="25"/>
      <x:c r="X47" s="32"/>
      <x:c r="Y47" s="32"/>
      <x:c r="Z47" s="32"/>
      <x:c r="AA47" s="32"/>
      <x:c r="AB47" s="32" t="str">
        <x:f>IF(COUNTA(X47:AA47)=0,"",ROUND((X47*0.35)+(Y47*0.20)+(Z47*0.20)+(AA47*0.25),2))</x:f>
      </x:c>
      <x:c r="AC47" s="25"/>
    </x:row>
    <x:row r="48">
      <x:c r="A48" s="25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30"/>
      <x:c r="O48" s="30"/>
      <x:c r="P48" s="25"/>
      <x:c r="Q48" s="25"/>
      <x:c r="R48" s="25"/>
      <x:c r="S48" s="28"/>
      <x:c r="T48" s="28"/>
      <x:c r="U48" s="25"/>
      <x:c r="V48" s="25"/>
      <x:c r="W48" s="25"/>
      <x:c r="X48" s="32"/>
      <x:c r="Y48" s="32"/>
      <x:c r="Z48" s="32"/>
      <x:c r="AA48" s="32"/>
      <x:c r="AB48" s="32" t="str">
        <x:f>IF(COUNTA(X48:AA48)=0,"",ROUND((X48*0.35)+(Y48*0.20)+(Z48*0.20)+(AA48*0.25),2))</x:f>
      </x:c>
      <x:c r="AC48" s="25"/>
    </x:row>
    <x:row r="49">
      <x:c r="A49" s="25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30"/>
      <x:c r="O49" s="30"/>
      <x:c r="P49" s="25"/>
      <x:c r="Q49" s="25"/>
      <x:c r="R49" s="25"/>
      <x:c r="S49" s="28"/>
      <x:c r="T49" s="28"/>
      <x:c r="U49" s="25"/>
      <x:c r="V49" s="25"/>
      <x:c r="W49" s="25"/>
      <x:c r="X49" s="32"/>
      <x:c r="Y49" s="32"/>
      <x:c r="Z49" s="32"/>
      <x:c r="AA49" s="32"/>
      <x:c r="AB49" s="32" t="str">
        <x:f>IF(COUNTA(X49:AA49)=0,"",ROUND((X49*0.35)+(Y49*0.20)+(Z49*0.20)+(AA49*0.25),2))</x:f>
      </x:c>
      <x:c r="AC49" s="25"/>
    </x:row>
    <x:row r="50">
      <x:c r="A50" s="25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30"/>
      <x:c r="O50" s="30"/>
      <x:c r="P50" s="25"/>
      <x:c r="Q50" s="25"/>
      <x:c r="R50" s="25"/>
      <x:c r="S50" s="28"/>
      <x:c r="T50" s="28"/>
      <x:c r="U50" s="25"/>
      <x:c r="V50" s="25"/>
      <x:c r="W50" s="25"/>
      <x:c r="X50" s="32"/>
      <x:c r="Y50" s="32"/>
      <x:c r="Z50" s="32"/>
      <x:c r="AA50" s="32"/>
      <x:c r="AB50" s="32" t="str">
        <x:f>IF(COUNTA(X50:AA50)=0,"",ROUND((X50*0.35)+(Y50*0.20)+(Z50*0.20)+(AA50*0.25),2))</x:f>
      </x:c>
      <x:c r="AC50" s="25"/>
    </x:row>
    <x:row r="51">
      <x:c r="A51" s="25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30"/>
      <x:c r="O51" s="30"/>
      <x:c r="P51" s="25"/>
      <x:c r="Q51" s="25"/>
      <x:c r="R51" s="25"/>
      <x:c r="S51" s="28"/>
      <x:c r="T51" s="28"/>
      <x:c r="U51" s="25"/>
      <x:c r="V51" s="25"/>
      <x:c r="W51" s="25"/>
      <x:c r="X51" s="32"/>
      <x:c r="Y51" s="32"/>
      <x:c r="Z51" s="32"/>
      <x:c r="AA51" s="32"/>
      <x:c r="AB51" s="32" t="str">
        <x:f>IF(COUNTA(X51:AA51)=0,"",ROUND((X51*0.35)+(Y51*0.20)+(Z51*0.20)+(AA51*0.25),2))</x:f>
      </x:c>
      <x:c r="AC51" s="25"/>
    </x:row>
    <x:row r="52">
      <x:c r="A52" s="25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30"/>
      <x:c r="O52" s="30"/>
      <x:c r="P52" s="25"/>
      <x:c r="Q52" s="25"/>
      <x:c r="R52" s="25"/>
      <x:c r="S52" s="28"/>
      <x:c r="T52" s="28"/>
      <x:c r="U52" s="25"/>
      <x:c r="V52" s="25"/>
      <x:c r="W52" s="25"/>
      <x:c r="X52" s="32"/>
      <x:c r="Y52" s="32"/>
      <x:c r="Z52" s="32"/>
      <x:c r="AA52" s="32"/>
      <x:c r="AB52" s="32" t="str">
        <x:f>IF(COUNTA(X52:AA52)=0,"",ROUND((X52*0.35)+(Y52*0.20)+(Z52*0.20)+(AA52*0.25),2))</x:f>
      </x:c>
      <x:c r="AC52" s="25"/>
    </x:row>
    <x:row r="53">
      <x:c r="A53" s="25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30"/>
      <x:c r="O53" s="30"/>
      <x:c r="P53" s="25"/>
      <x:c r="Q53" s="25"/>
      <x:c r="R53" s="25"/>
      <x:c r="S53" s="28"/>
      <x:c r="T53" s="28"/>
      <x:c r="U53" s="25"/>
      <x:c r="V53" s="25"/>
      <x:c r="W53" s="25"/>
      <x:c r="X53" s="32"/>
      <x:c r="Y53" s="32"/>
      <x:c r="Z53" s="32"/>
      <x:c r="AA53" s="32"/>
      <x:c r="AB53" s="32" t="str">
        <x:f>IF(COUNTA(X53:AA53)=0,"",ROUND((X53*0.35)+(Y53*0.20)+(Z53*0.20)+(AA53*0.25),2))</x:f>
      </x:c>
      <x:c r="AC53" s="25"/>
    </x:row>
    <x:row r="54">
      <x:c r="A54" s="25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30"/>
      <x:c r="O54" s="30"/>
      <x:c r="P54" s="25"/>
      <x:c r="Q54" s="25"/>
      <x:c r="R54" s="25"/>
      <x:c r="S54" s="28"/>
      <x:c r="T54" s="28"/>
      <x:c r="U54" s="25"/>
      <x:c r="V54" s="25"/>
      <x:c r="W54" s="25"/>
      <x:c r="X54" s="32"/>
      <x:c r="Y54" s="32"/>
      <x:c r="Z54" s="32"/>
      <x:c r="AA54" s="32"/>
      <x:c r="AB54" s="32" t="str">
        <x:f>IF(COUNTA(X54:AA54)=0,"",ROUND((X54*0.35)+(Y54*0.20)+(Z54*0.20)+(AA54*0.25),2))</x:f>
      </x:c>
      <x:c r="AC54" s="25"/>
    </x:row>
    <x:row r="55">
      <x:c r="A55" s="25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30"/>
      <x:c r="O55" s="30"/>
      <x:c r="P55" s="25"/>
      <x:c r="Q55" s="25"/>
      <x:c r="R55" s="25"/>
      <x:c r="S55" s="28"/>
      <x:c r="T55" s="28"/>
      <x:c r="U55" s="25"/>
      <x:c r="V55" s="25"/>
      <x:c r="W55" s="25"/>
      <x:c r="X55" s="32"/>
      <x:c r="Y55" s="32"/>
      <x:c r="Z55" s="32"/>
      <x:c r="AA55" s="32"/>
      <x:c r="AB55" s="32" t="str">
        <x:f>IF(COUNTA(X55:AA55)=0,"",ROUND((X55*0.35)+(Y55*0.20)+(Z55*0.20)+(AA55*0.25),2))</x:f>
      </x:c>
      <x:c r="AC55" s="25"/>
    </x:row>
    <x:row r="56">
      <x:c r="A56" s="25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30"/>
      <x:c r="O56" s="30"/>
      <x:c r="P56" s="25"/>
      <x:c r="Q56" s="25"/>
      <x:c r="R56" s="25"/>
      <x:c r="S56" s="28"/>
      <x:c r="T56" s="28"/>
      <x:c r="U56" s="25"/>
      <x:c r="V56" s="25"/>
      <x:c r="W56" s="25"/>
      <x:c r="X56" s="32"/>
      <x:c r="Y56" s="32"/>
      <x:c r="Z56" s="32"/>
      <x:c r="AA56" s="32"/>
      <x:c r="AB56" s="32" t="str">
        <x:f>IF(COUNTA(X56:AA56)=0,"",ROUND((X56*0.35)+(Y56*0.20)+(Z56*0.20)+(AA56*0.25),2))</x:f>
      </x:c>
      <x:c r="AC56" s="25"/>
    </x:row>
    <x:row r="57">
      <x:c r="A57" s="25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30"/>
      <x:c r="O57" s="30"/>
      <x:c r="P57" s="25"/>
      <x:c r="Q57" s="25"/>
      <x:c r="R57" s="25"/>
      <x:c r="S57" s="28"/>
      <x:c r="T57" s="28"/>
      <x:c r="U57" s="25"/>
      <x:c r="V57" s="25"/>
      <x:c r="W57" s="25"/>
      <x:c r="X57" s="32"/>
      <x:c r="Y57" s="32"/>
      <x:c r="Z57" s="32"/>
      <x:c r="AA57" s="32"/>
      <x:c r="AB57" s="32" t="str">
        <x:f>IF(COUNTA(X57:AA57)=0,"",ROUND((X57*0.35)+(Y57*0.20)+(Z57*0.20)+(AA57*0.25),2))</x:f>
      </x:c>
      <x:c r="AC57" s="25"/>
    </x:row>
    <x:row r="58">
      <x:c r="A58" s="25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30"/>
      <x:c r="O58" s="30"/>
      <x:c r="P58" s="25"/>
      <x:c r="Q58" s="25"/>
      <x:c r="R58" s="25"/>
      <x:c r="S58" s="28"/>
      <x:c r="T58" s="28"/>
      <x:c r="U58" s="25"/>
      <x:c r="V58" s="25"/>
      <x:c r="W58" s="25"/>
      <x:c r="X58" s="32"/>
      <x:c r="Y58" s="32"/>
      <x:c r="Z58" s="32"/>
      <x:c r="AA58" s="32"/>
      <x:c r="AB58" s="32" t="str">
        <x:f>IF(COUNTA(X58:AA58)=0,"",ROUND((X58*0.35)+(Y58*0.20)+(Z58*0.20)+(AA58*0.25),2))</x:f>
      </x:c>
      <x:c r="AC58" s="25"/>
    </x:row>
    <x:row r="59">
      <x:c r="A59" s="25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30"/>
      <x:c r="O59" s="30"/>
      <x:c r="P59" s="25"/>
      <x:c r="Q59" s="25"/>
      <x:c r="R59" s="25"/>
      <x:c r="S59" s="28"/>
      <x:c r="T59" s="28"/>
      <x:c r="U59" s="25"/>
      <x:c r="V59" s="25"/>
      <x:c r="W59" s="25"/>
      <x:c r="X59" s="32"/>
      <x:c r="Y59" s="32"/>
      <x:c r="Z59" s="32"/>
      <x:c r="AA59" s="32"/>
      <x:c r="AB59" s="32" t="str">
        <x:f>IF(COUNTA(X59:AA59)=0,"",ROUND((X59*0.35)+(Y59*0.20)+(Z59*0.20)+(AA59*0.25),2))</x:f>
      </x:c>
      <x:c r="AC59" s="25"/>
    </x:row>
    <x:row r="60">
      <x:c r="A60" s="25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30"/>
      <x:c r="O60" s="30"/>
      <x:c r="P60" s="25"/>
      <x:c r="Q60" s="25"/>
      <x:c r="R60" s="25"/>
      <x:c r="S60" s="28"/>
      <x:c r="T60" s="28"/>
      <x:c r="U60" s="25"/>
      <x:c r="V60" s="25"/>
      <x:c r="W60" s="25"/>
      <x:c r="X60" s="32"/>
      <x:c r="Y60" s="32"/>
      <x:c r="Z60" s="32"/>
      <x:c r="AA60" s="32"/>
      <x:c r="AB60" s="32" t="str">
        <x:f>IF(COUNTA(X60:AA60)=0,"",ROUND((X60*0.35)+(Y60*0.20)+(Z60*0.20)+(AA60*0.25),2))</x:f>
      </x:c>
      <x:c r="AC60" s="25"/>
    </x:row>
    <x:row r="61">
      <x:c r="A61" s="25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30"/>
      <x:c r="O61" s="30"/>
      <x:c r="P61" s="25"/>
      <x:c r="Q61" s="25"/>
      <x:c r="R61" s="25"/>
      <x:c r="S61" s="28"/>
      <x:c r="T61" s="28"/>
      <x:c r="U61" s="25"/>
      <x:c r="V61" s="25"/>
      <x:c r="W61" s="25"/>
      <x:c r="X61" s="32"/>
      <x:c r="Y61" s="32"/>
      <x:c r="Z61" s="32"/>
      <x:c r="AA61" s="32"/>
      <x:c r="AB61" s="32" t="str">
        <x:f>IF(COUNTA(X61:AA61)=0,"",ROUND((X61*0.35)+(Y61*0.20)+(Z61*0.20)+(AA61*0.25),2))</x:f>
      </x:c>
      <x:c r="AC61" s="25"/>
    </x:row>
    <x:row r="62">
      <x:c r="A62" s="25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30"/>
      <x:c r="O62" s="30"/>
      <x:c r="P62" s="25"/>
      <x:c r="Q62" s="25"/>
      <x:c r="R62" s="25"/>
      <x:c r="S62" s="28"/>
      <x:c r="T62" s="28"/>
      <x:c r="U62" s="25"/>
      <x:c r="V62" s="25"/>
      <x:c r="W62" s="25"/>
      <x:c r="X62" s="32"/>
      <x:c r="Y62" s="32"/>
      <x:c r="Z62" s="32"/>
      <x:c r="AA62" s="32"/>
      <x:c r="AB62" s="32" t="str">
        <x:f>IF(COUNTA(X62:AA62)=0,"",ROUND((X62*0.35)+(Y62*0.20)+(Z62*0.20)+(AA62*0.25),2))</x:f>
      </x:c>
      <x:c r="AC62" s="25"/>
    </x:row>
    <x:row r="63">
      <x:c r="A63" s="25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30"/>
      <x:c r="O63" s="30"/>
      <x:c r="P63" s="25"/>
      <x:c r="Q63" s="25"/>
      <x:c r="R63" s="25"/>
      <x:c r="S63" s="28"/>
      <x:c r="T63" s="28"/>
      <x:c r="U63" s="25"/>
      <x:c r="V63" s="25"/>
      <x:c r="W63" s="25"/>
      <x:c r="X63" s="32"/>
      <x:c r="Y63" s="32"/>
      <x:c r="Z63" s="32"/>
      <x:c r="AA63" s="32"/>
      <x:c r="AB63" s="32" t="str">
        <x:f>IF(COUNTA(X63:AA63)=0,"",ROUND((X63*0.35)+(Y63*0.20)+(Z63*0.20)+(AA63*0.25),2))</x:f>
      </x:c>
      <x:c r="AC63" s="25"/>
    </x:row>
    <x:row r="64">
      <x:c r="A64" s="25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30"/>
      <x:c r="O64" s="30"/>
      <x:c r="P64" s="25"/>
      <x:c r="Q64" s="25"/>
      <x:c r="R64" s="25"/>
      <x:c r="S64" s="28"/>
      <x:c r="T64" s="28"/>
      <x:c r="U64" s="25"/>
      <x:c r="V64" s="25"/>
      <x:c r="W64" s="25"/>
      <x:c r="X64" s="32"/>
      <x:c r="Y64" s="32"/>
      <x:c r="Z64" s="32"/>
      <x:c r="AA64" s="32"/>
      <x:c r="AB64" s="32" t="str">
        <x:f>IF(COUNTA(X64:AA64)=0,"",ROUND((X64*0.35)+(Y64*0.20)+(Z64*0.20)+(AA64*0.25),2))</x:f>
      </x:c>
      <x:c r="AC64" s="25"/>
    </x:row>
    <x:row r="65">
      <x:c r="A65" s="25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30"/>
      <x:c r="O65" s="30"/>
      <x:c r="P65" s="25"/>
      <x:c r="Q65" s="25"/>
      <x:c r="R65" s="25"/>
      <x:c r="S65" s="28"/>
      <x:c r="T65" s="28"/>
      <x:c r="U65" s="25"/>
      <x:c r="V65" s="25"/>
      <x:c r="W65" s="25"/>
      <x:c r="X65" s="32"/>
      <x:c r="Y65" s="32"/>
      <x:c r="Z65" s="32"/>
      <x:c r="AA65" s="32"/>
      <x:c r="AB65" s="32" t="str">
        <x:f>IF(COUNTA(X65:AA65)=0,"",ROUND((X65*0.35)+(Y65*0.20)+(Z65*0.20)+(AA65*0.25),2))</x:f>
      </x:c>
      <x:c r="AC65" s="25"/>
    </x:row>
    <x:row r="66">
      <x:c r="A66" s="25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30"/>
      <x:c r="O66" s="30"/>
      <x:c r="P66" s="25"/>
      <x:c r="Q66" s="25"/>
      <x:c r="R66" s="25"/>
      <x:c r="S66" s="28"/>
      <x:c r="T66" s="28"/>
      <x:c r="U66" s="25"/>
      <x:c r="V66" s="25"/>
      <x:c r="W66" s="25"/>
      <x:c r="X66" s="32"/>
      <x:c r="Y66" s="32"/>
      <x:c r="Z66" s="32"/>
      <x:c r="AA66" s="32"/>
      <x:c r="AB66" s="32" t="str">
        <x:f>IF(COUNTA(X66:AA66)=0,"",ROUND((X66*0.35)+(Y66*0.20)+(Z66*0.20)+(AA66*0.25),2))</x:f>
      </x:c>
      <x:c r="AC66" s="25"/>
    </x:row>
    <x:row r="67">
      <x:c r="A67" s="25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30"/>
      <x:c r="O67" s="30"/>
      <x:c r="P67" s="25"/>
      <x:c r="Q67" s="25"/>
      <x:c r="R67" s="25"/>
      <x:c r="S67" s="28"/>
      <x:c r="T67" s="28"/>
      <x:c r="U67" s="25"/>
      <x:c r="V67" s="25"/>
      <x:c r="W67" s="25"/>
      <x:c r="X67" s="32"/>
      <x:c r="Y67" s="32"/>
      <x:c r="Z67" s="32"/>
      <x:c r="AA67" s="32"/>
      <x:c r="AB67" s="32" t="str">
        <x:f>IF(COUNTA(X67:AA67)=0,"",ROUND((X67*0.35)+(Y67*0.20)+(Z67*0.20)+(AA67*0.25),2))</x:f>
      </x:c>
      <x:c r="AC67" s="25"/>
    </x:row>
    <x:row r="68">
      <x:c r="A68" s="25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30"/>
      <x:c r="O68" s="30"/>
      <x:c r="P68" s="25"/>
      <x:c r="Q68" s="25"/>
      <x:c r="R68" s="25"/>
      <x:c r="S68" s="28"/>
      <x:c r="T68" s="28"/>
      <x:c r="U68" s="25"/>
      <x:c r="V68" s="25"/>
      <x:c r="W68" s="25"/>
      <x:c r="X68" s="32"/>
      <x:c r="Y68" s="32"/>
      <x:c r="Z68" s="32"/>
      <x:c r="AA68" s="32"/>
      <x:c r="AB68" s="32" t="str">
        <x:f>IF(COUNTA(X68:AA68)=0,"",ROUND((X68*0.35)+(Y68*0.20)+(Z68*0.20)+(AA68*0.25),2))</x:f>
      </x:c>
      <x:c r="AC68" s="25"/>
    </x:row>
    <x:row r="69">
      <x:c r="A69" s="25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30"/>
      <x:c r="O69" s="30"/>
      <x:c r="P69" s="25"/>
      <x:c r="Q69" s="25"/>
      <x:c r="R69" s="25"/>
      <x:c r="S69" s="28"/>
      <x:c r="T69" s="28"/>
      <x:c r="U69" s="25"/>
      <x:c r="V69" s="25"/>
      <x:c r="W69" s="25"/>
      <x:c r="X69" s="32"/>
      <x:c r="Y69" s="32"/>
      <x:c r="Z69" s="32"/>
      <x:c r="AA69" s="32"/>
      <x:c r="AB69" s="32" t="str">
        <x:f>IF(COUNTA(X69:AA69)=0,"",ROUND((X69*0.35)+(Y69*0.20)+(Z69*0.20)+(AA69*0.25),2))</x:f>
      </x:c>
      <x:c r="AC69" s="25"/>
    </x:row>
    <x:row r="70">
      <x:c r="A70" s="25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30"/>
      <x:c r="O70" s="30"/>
      <x:c r="P70" s="25"/>
      <x:c r="Q70" s="25"/>
      <x:c r="R70" s="25"/>
      <x:c r="S70" s="28"/>
      <x:c r="T70" s="28"/>
      <x:c r="U70" s="25"/>
      <x:c r="V70" s="25"/>
      <x:c r="W70" s="25"/>
      <x:c r="X70" s="32"/>
      <x:c r="Y70" s="32"/>
      <x:c r="Z70" s="32"/>
      <x:c r="AA70" s="32"/>
      <x:c r="AB70" s="32" t="str">
        <x:f>IF(COUNTA(X70:AA70)=0,"",ROUND((X70*0.35)+(Y70*0.20)+(Z70*0.20)+(AA70*0.25),2))</x:f>
      </x:c>
      <x:c r="AC70" s="25"/>
    </x:row>
    <x:row r="71">
      <x:c r="A71" s="25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30"/>
      <x:c r="O71" s="30"/>
      <x:c r="P71" s="25"/>
      <x:c r="Q71" s="25"/>
      <x:c r="R71" s="25"/>
      <x:c r="S71" s="28"/>
      <x:c r="T71" s="28"/>
      <x:c r="U71" s="25"/>
      <x:c r="V71" s="25"/>
      <x:c r="W71" s="25"/>
      <x:c r="X71" s="32"/>
      <x:c r="Y71" s="32"/>
      <x:c r="Z71" s="32"/>
      <x:c r="AA71" s="32"/>
      <x:c r="AB71" s="32" t="str">
        <x:f>IF(COUNTA(X71:AA71)=0,"",ROUND((X71*0.35)+(Y71*0.20)+(Z71*0.20)+(AA71*0.25),2))</x:f>
      </x:c>
      <x:c r="AC71" s="25"/>
    </x:row>
    <x:row r="72">
      <x:c r="A72" s="25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30"/>
      <x:c r="O72" s="30"/>
      <x:c r="P72" s="25"/>
      <x:c r="Q72" s="25"/>
      <x:c r="R72" s="25"/>
      <x:c r="S72" s="28"/>
      <x:c r="T72" s="28"/>
      <x:c r="U72" s="25"/>
      <x:c r="V72" s="25"/>
      <x:c r="W72" s="25"/>
      <x:c r="X72" s="32"/>
      <x:c r="Y72" s="32"/>
      <x:c r="Z72" s="32"/>
      <x:c r="AA72" s="32"/>
      <x:c r="AB72" s="32" t="str">
        <x:f>IF(COUNTA(X72:AA72)=0,"",ROUND((X72*0.35)+(Y72*0.20)+(Z72*0.20)+(AA72*0.25),2))</x:f>
      </x:c>
      <x:c r="AC72" s="25"/>
    </x:row>
    <x:row r="73">
      <x:c r="A73" s="25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30"/>
      <x:c r="O73" s="30"/>
      <x:c r="P73" s="25"/>
      <x:c r="Q73" s="25"/>
      <x:c r="R73" s="25"/>
      <x:c r="S73" s="28"/>
      <x:c r="T73" s="28"/>
      <x:c r="U73" s="25"/>
      <x:c r="V73" s="25"/>
      <x:c r="W73" s="25"/>
      <x:c r="X73" s="32"/>
      <x:c r="Y73" s="32"/>
      <x:c r="Z73" s="32"/>
      <x:c r="AA73" s="32"/>
      <x:c r="AB73" s="32" t="str">
        <x:f>IF(COUNTA(X73:AA73)=0,"",ROUND((X73*0.35)+(Y73*0.20)+(Z73*0.20)+(AA73*0.25),2))</x:f>
      </x:c>
      <x:c r="AC73" s="25"/>
    </x:row>
    <x:row r="74">
      <x:c r="A74" s="25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30"/>
      <x:c r="O74" s="30"/>
      <x:c r="P74" s="25"/>
      <x:c r="Q74" s="25"/>
      <x:c r="R74" s="25"/>
      <x:c r="S74" s="28"/>
      <x:c r="T74" s="28"/>
      <x:c r="U74" s="25"/>
      <x:c r="V74" s="25"/>
      <x:c r="W74" s="25"/>
      <x:c r="X74" s="32"/>
      <x:c r="Y74" s="32"/>
      <x:c r="Z74" s="32"/>
      <x:c r="AA74" s="32"/>
      <x:c r="AB74" s="32" t="str">
        <x:f>IF(COUNTA(X74:AA74)=0,"",ROUND((X74*0.35)+(Y74*0.20)+(Z74*0.20)+(AA74*0.25),2))</x:f>
      </x:c>
      <x:c r="AC74" s="25"/>
    </x:row>
    <x:row r="75">
      <x:c r="A75" s="25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30"/>
      <x:c r="O75" s="30"/>
      <x:c r="P75" s="25"/>
      <x:c r="Q75" s="25"/>
      <x:c r="R75" s="25"/>
      <x:c r="S75" s="28"/>
      <x:c r="T75" s="28"/>
      <x:c r="U75" s="25"/>
      <x:c r="V75" s="25"/>
      <x:c r="W75" s="25"/>
      <x:c r="X75" s="32"/>
      <x:c r="Y75" s="32"/>
      <x:c r="Z75" s="32"/>
      <x:c r="AA75" s="32"/>
      <x:c r="AB75" s="32" t="str">
        <x:f>IF(COUNTA(X75:AA75)=0,"",ROUND((X75*0.35)+(Y75*0.20)+(Z75*0.20)+(AA75*0.25),2))</x:f>
      </x:c>
      <x:c r="AC75" s="25"/>
    </x:row>
    <x:row r="76">
      <x:c r="A76" s="25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30"/>
      <x:c r="O76" s="30"/>
      <x:c r="P76" s="25"/>
      <x:c r="Q76" s="25"/>
      <x:c r="R76" s="25"/>
      <x:c r="S76" s="28"/>
      <x:c r="T76" s="28"/>
      <x:c r="U76" s="25"/>
      <x:c r="V76" s="25"/>
      <x:c r="W76" s="25"/>
      <x:c r="X76" s="32"/>
      <x:c r="Y76" s="32"/>
      <x:c r="Z76" s="32"/>
      <x:c r="AA76" s="32"/>
      <x:c r="AB76" s="32" t="str">
        <x:f>IF(COUNTA(X76:AA76)=0,"",ROUND((X76*0.35)+(Y76*0.20)+(Z76*0.20)+(AA76*0.25),2))</x:f>
      </x:c>
      <x:c r="AC76" s="25"/>
    </x:row>
    <x:row r="77">
      <x:c r="A77" s="25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30"/>
      <x:c r="O77" s="30"/>
      <x:c r="P77" s="25"/>
      <x:c r="Q77" s="25"/>
      <x:c r="R77" s="25"/>
      <x:c r="S77" s="28"/>
      <x:c r="T77" s="28"/>
      <x:c r="U77" s="25"/>
      <x:c r="V77" s="25"/>
      <x:c r="W77" s="25"/>
      <x:c r="X77" s="32"/>
      <x:c r="Y77" s="32"/>
      <x:c r="Z77" s="32"/>
      <x:c r="AA77" s="32"/>
      <x:c r="AB77" s="32" t="str">
        <x:f>IF(COUNTA(X77:AA77)=0,"",ROUND((X77*0.35)+(Y77*0.20)+(Z77*0.20)+(AA77*0.25),2))</x:f>
      </x:c>
      <x:c r="AC77" s="25"/>
    </x:row>
    <x:row r="78">
      <x:c r="A78" s="25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30"/>
      <x:c r="O78" s="30"/>
      <x:c r="P78" s="25"/>
      <x:c r="Q78" s="25"/>
      <x:c r="R78" s="25"/>
      <x:c r="S78" s="28"/>
      <x:c r="T78" s="28"/>
      <x:c r="U78" s="25"/>
      <x:c r="V78" s="25"/>
      <x:c r="W78" s="25"/>
      <x:c r="X78" s="32"/>
      <x:c r="Y78" s="32"/>
      <x:c r="Z78" s="32"/>
      <x:c r="AA78" s="32"/>
      <x:c r="AB78" s="32" t="str">
        <x:f>IF(COUNTA(X78:AA78)=0,"",ROUND((X78*0.35)+(Y78*0.20)+(Z78*0.20)+(AA78*0.25),2))</x:f>
      </x:c>
      <x:c r="AC78" s="25"/>
    </x:row>
    <x:row r="79">
      <x:c r="A79" s="25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30"/>
      <x:c r="O79" s="30"/>
      <x:c r="P79" s="25"/>
      <x:c r="Q79" s="25"/>
      <x:c r="R79" s="25"/>
      <x:c r="S79" s="28"/>
      <x:c r="T79" s="28"/>
      <x:c r="U79" s="25"/>
      <x:c r="V79" s="25"/>
      <x:c r="W79" s="25"/>
      <x:c r="X79" s="32"/>
      <x:c r="Y79" s="32"/>
      <x:c r="Z79" s="32"/>
      <x:c r="AA79" s="32"/>
      <x:c r="AB79" s="32" t="str">
        <x:f>IF(COUNTA(X79:AA79)=0,"",ROUND((X79*0.35)+(Y79*0.20)+(Z79*0.20)+(AA79*0.25),2))</x:f>
      </x:c>
      <x:c r="AC79" s="25"/>
    </x:row>
    <x:row r="80">
      <x:c r="A80" s="25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30"/>
      <x:c r="O80" s="30"/>
      <x:c r="P80" s="25"/>
      <x:c r="Q80" s="25"/>
      <x:c r="R80" s="25"/>
      <x:c r="S80" s="28"/>
      <x:c r="T80" s="28"/>
      <x:c r="U80" s="25"/>
      <x:c r="V80" s="25"/>
      <x:c r="W80" s="25"/>
      <x:c r="X80" s="32"/>
      <x:c r="Y80" s="32"/>
      <x:c r="Z80" s="32"/>
      <x:c r="AA80" s="32"/>
      <x:c r="AB80" s="32" t="str">
        <x:f>IF(COUNTA(X80:AA80)=0,"",ROUND((X80*0.35)+(Y80*0.20)+(Z80*0.20)+(AA80*0.25),2))</x:f>
      </x:c>
      <x:c r="AC80" s="25"/>
    </x:row>
    <x:row r="81">
      <x:c r="A81" s="25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30"/>
      <x:c r="O81" s="30"/>
      <x:c r="P81" s="25"/>
      <x:c r="Q81" s="25"/>
      <x:c r="R81" s="25"/>
      <x:c r="S81" s="28"/>
      <x:c r="T81" s="28"/>
      <x:c r="U81" s="25"/>
      <x:c r="V81" s="25"/>
      <x:c r="W81" s="25"/>
      <x:c r="X81" s="32"/>
      <x:c r="Y81" s="32"/>
      <x:c r="Z81" s="32"/>
      <x:c r="AA81" s="32"/>
      <x:c r="AB81" s="32" t="str">
        <x:f>IF(COUNTA(X81:AA81)=0,"",ROUND((X81*0.35)+(Y81*0.20)+(Z81*0.20)+(AA81*0.25),2))</x:f>
      </x:c>
      <x:c r="AC81" s="25"/>
    </x:row>
    <x:row r="82">
      <x:c r="A82" s="25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30"/>
      <x:c r="O82" s="30"/>
      <x:c r="P82" s="25"/>
      <x:c r="Q82" s="25"/>
      <x:c r="R82" s="25"/>
      <x:c r="S82" s="28"/>
      <x:c r="T82" s="28"/>
      <x:c r="U82" s="25"/>
      <x:c r="V82" s="25"/>
      <x:c r="W82" s="25"/>
      <x:c r="X82" s="32"/>
      <x:c r="Y82" s="32"/>
      <x:c r="Z82" s="32"/>
      <x:c r="AA82" s="32"/>
      <x:c r="AB82" s="32" t="str">
        <x:f>IF(COUNTA(X82:AA82)=0,"",ROUND((X82*0.35)+(Y82*0.20)+(Z82*0.20)+(AA82*0.25),2))</x:f>
      </x:c>
      <x:c r="AC82" s="25"/>
    </x:row>
    <x:row r="83">
      <x:c r="A83" s="25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30"/>
      <x:c r="O83" s="30"/>
      <x:c r="P83" s="25"/>
      <x:c r="Q83" s="25"/>
      <x:c r="R83" s="25"/>
      <x:c r="S83" s="28"/>
      <x:c r="T83" s="28"/>
      <x:c r="U83" s="25"/>
      <x:c r="V83" s="25"/>
      <x:c r="W83" s="25"/>
      <x:c r="X83" s="32"/>
      <x:c r="Y83" s="32"/>
      <x:c r="Z83" s="32"/>
      <x:c r="AA83" s="32"/>
      <x:c r="AB83" s="32" t="str">
        <x:f>IF(COUNTA(X83:AA83)=0,"",ROUND((X83*0.35)+(Y83*0.20)+(Z83*0.20)+(AA83*0.25),2))</x:f>
      </x:c>
      <x:c r="AC83" s="25"/>
    </x:row>
    <x:row r="84">
      <x:c r="A84" s="25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30"/>
      <x:c r="O84" s="30"/>
      <x:c r="P84" s="25"/>
      <x:c r="Q84" s="25"/>
      <x:c r="R84" s="25"/>
      <x:c r="S84" s="28"/>
      <x:c r="T84" s="28"/>
      <x:c r="U84" s="25"/>
      <x:c r="V84" s="25"/>
      <x:c r="W84" s="25"/>
      <x:c r="X84" s="32"/>
      <x:c r="Y84" s="32"/>
      <x:c r="Z84" s="32"/>
      <x:c r="AA84" s="32"/>
      <x:c r="AB84" s="32" t="str">
        <x:f>IF(COUNTA(X84:AA84)=0,"",ROUND((X84*0.35)+(Y84*0.20)+(Z84*0.20)+(AA84*0.25),2))</x:f>
      </x:c>
      <x:c r="AC84" s="25"/>
    </x:row>
    <x:row r="85">
      <x:c r="A85" s="25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30"/>
      <x:c r="O85" s="30"/>
      <x:c r="P85" s="25"/>
      <x:c r="Q85" s="25"/>
      <x:c r="R85" s="25"/>
      <x:c r="S85" s="28"/>
      <x:c r="T85" s="28"/>
      <x:c r="U85" s="25"/>
      <x:c r="V85" s="25"/>
      <x:c r="W85" s="25"/>
      <x:c r="X85" s="32"/>
      <x:c r="Y85" s="32"/>
      <x:c r="Z85" s="32"/>
      <x:c r="AA85" s="32"/>
      <x:c r="AB85" s="32" t="str">
        <x:f>IF(COUNTA(X85:AA85)=0,"",ROUND((X85*0.35)+(Y85*0.20)+(Z85*0.20)+(AA85*0.25),2))</x:f>
      </x:c>
      <x:c r="AC85" s="25"/>
    </x:row>
    <x:row r="86">
      <x:c r="A86" s="25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30"/>
      <x:c r="O86" s="30"/>
      <x:c r="P86" s="25"/>
      <x:c r="Q86" s="25"/>
      <x:c r="R86" s="25"/>
      <x:c r="S86" s="28"/>
      <x:c r="T86" s="28"/>
      <x:c r="U86" s="25"/>
      <x:c r="V86" s="25"/>
      <x:c r="W86" s="25"/>
      <x:c r="X86" s="32"/>
      <x:c r="Y86" s="32"/>
      <x:c r="Z86" s="32"/>
      <x:c r="AA86" s="32"/>
      <x:c r="AB86" s="32" t="str">
        <x:f>IF(COUNTA(X86:AA86)=0,"",ROUND((X86*0.35)+(Y86*0.20)+(Z86*0.20)+(AA86*0.25),2))</x:f>
      </x:c>
      <x:c r="AC86" s="25"/>
    </x:row>
    <x:row r="87">
      <x:c r="A87" s="25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30"/>
      <x:c r="O87" s="30"/>
      <x:c r="P87" s="25"/>
      <x:c r="Q87" s="25"/>
      <x:c r="R87" s="25"/>
      <x:c r="S87" s="28"/>
      <x:c r="T87" s="28"/>
      <x:c r="U87" s="25"/>
      <x:c r="V87" s="25"/>
      <x:c r="W87" s="25"/>
      <x:c r="X87" s="32"/>
      <x:c r="Y87" s="32"/>
      <x:c r="Z87" s="32"/>
      <x:c r="AA87" s="32"/>
      <x:c r="AB87" s="32" t="str">
        <x:f>IF(COUNTA(X87:AA87)=0,"",ROUND((X87*0.35)+(Y87*0.20)+(Z87*0.20)+(AA87*0.25),2))</x:f>
      </x:c>
      <x:c r="AC87" s="25"/>
    </x:row>
    <x:row r="88">
      <x:c r="A88" s="25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30"/>
      <x:c r="O88" s="30"/>
      <x:c r="P88" s="25"/>
      <x:c r="Q88" s="25"/>
      <x:c r="R88" s="25"/>
      <x:c r="S88" s="28"/>
      <x:c r="T88" s="28"/>
      <x:c r="U88" s="25"/>
      <x:c r="V88" s="25"/>
      <x:c r="W88" s="25"/>
      <x:c r="X88" s="32"/>
      <x:c r="Y88" s="32"/>
      <x:c r="Z88" s="32"/>
      <x:c r="AA88" s="32"/>
      <x:c r="AB88" s="32" t="str">
        <x:f>IF(COUNTA(X88:AA88)=0,"",ROUND((X88*0.35)+(Y88*0.20)+(Z88*0.20)+(AA88*0.25),2))</x:f>
      </x:c>
      <x:c r="AC88" s="25"/>
    </x:row>
    <x:row r="89">
      <x:c r="A89" s="25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30"/>
      <x:c r="O89" s="30"/>
      <x:c r="P89" s="25"/>
      <x:c r="Q89" s="25"/>
      <x:c r="R89" s="25"/>
      <x:c r="S89" s="28"/>
      <x:c r="T89" s="28"/>
      <x:c r="U89" s="25"/>
      <x:c r="V89" s="25"/>
      <x:c r="W89" s="25"/>
      <x:c r="X89" s="32"/>
      <x:c r="Y89" s="32"/>
      <x:c r="Z89" s="32"/>
      <x:c r="AA89" s="32"/>
      <x:c r="AB89" s="32" t="str">
        <x:f>IF(COUNTA(X89:AA89)=0,"",ROUND((X89*0.35)+(Y89*0.20)+(Z89*0.20)+(AA89*0.25),2))</x:f>
      </x:c>
      <x:c r="AC89" s="25"/>
    </x:row>
    <x:row r="90">
      <x:c r="A90" s="25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30"/>
      <x:c r="O90" s="30"/>
      <x:c r="P90" s="25"/>
      <x:c r="Q90" s="25"/>
      <x:c r="R90" s="25"/>
      <x:c r="S90" s="28"/>
      <x:c r="T90" s="28"/>
      <x:c r="U90" s="25"/>
      <x:c r="V90" s="25"/>
      <x:c r="W90" s="25"/>
      <x:c r="X90" s="32"/>
      <x:c r="Y90" s="32"/>
      <x:c r="Z90" s="32"/>
      <x:c r="AA90" s="32"/>
      <x:c r="AB90" s="32" t="str">
        <x:f>IF(COUNTA(X90:AA90)=0,"",ROUND((X90*0.35)+(Y90*0.20)+(Z90*0.20)+(AA90*0.25),2))</x:f>
      </x:c>
      <x:c r="AC90" s="25"/>
    </x:row>
    <x:row r="91">
      <x:c r="A91" s="25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30"/>
      <x:c r="O91" s="30"/>
      <x:c r="P91" s="25"/>
      <x:c r="Q91" s="25"/>
      <x:c r="R91" s="25"/>
      <x:c r="S91" s="28"/>
      <x:c r="T91" s="28"/>
      <x:c r="U91" s="25"/>
      <x:c r="V91" s="25"/>
      <x:c r="W91" s="25"/>
      <x:c r="X91" s="32"/>
      <x:c r="Y91" s="32"/>
      <x:c r="Z91" s="32"/>
      <x:c r="AA91" s="32"/>
      <x:c r="AB91" s="32" t="str">
        <x:f>IF(COUNTA(X91:AA91)=0,"",ROUND((X91*0.35)+(Y91*0.20)+(Z91*0.20)+(AA91*0.25),2))</x:f>
      </x:c>
      <x:c r="AC91" s="25"/>
    </x:row>
    <x:row r="92">
      <x:c r="A92" s="25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30"/>
      <x:c r="O92" s="30"/>
      <x:c r="P92" s="25"/>
      <x:c r="Q92" s="25"/>
      <x:c r="R92" s="25"/>
      <x:c r="S92" s="28"/>
      <x:c r="T92" s="28"/>
      <x:c r="U92" s="25"/>
      <x:c r="V92" s="25"/>
      <x:c r="W92" s="25"/>
      <x:c r="X92" s="32"/>
      <x:c r="Y92" s="32"/>
      <x:c r="Z92" s="32"/>
      <x:c r="AA92" s="32"/>
      <x:c r="AB92" s="32" t="str">
        <x:f>IF(COUNTA(X92:AA92)=0,"",ROUND((X92*0.35)+(Y92*0.20)+(Z92*0.20)+(AA92*0.25),2))</x:f>
      </x:c>
      <x:c r="AC92" s="25"/>
    </x:row>
    <x:row r="93">
      <x:c r="A93" s="25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30"/>
      <x:c r="O93" s="30"/>
      <x:c r="P93" s="25"/>
      <x:c r="Q93" s="25"/>
      <x:c r="R93" s="25"/>
      <x:c r="S93" s="28"/>
      <x:c r="T93" s="28"/>
      <x:c r="U93" s="25"/>
      <x:c r="V93" s="25"/>
      <x:c r="W93" s="25"/>
      <x:c r="X93" s="32"/>
      <x:c r="Y93" s="32"/>
      <x:c r="Z93" s="32"/>
      <x:c r="AA93" s="32"/>
      <x:c r="AB93" s="32" t="str">
        <x:f>IF(COUNTA(X93:AA93)=0,"",ROUND((X93*0.35)+(Y93*0.20)+(Z93*0.20)+(AA93*0.25),2))</x:f>
      </x:c>
      <x:c r="AC93" s="25"/>
    </x:row>
    <x:row r="94">
      <x:c r="A94" s="25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30"/>
      <x:c r="O94" s="30"/>
      <x:c r="P94" s="25"/>
      <x:c r="Q94" s="25"/>
      <x:c r="R94" s="25"/>
      <x:c r="S94" s="28"/>
      <x:c r="T94" s="28"/>
      <x:c r="U94" s="25"/>
      <x:c r="V94" s="25"/>
      <x:c r="W94" s="25"/>
      <x:c r="X94" s="32"/>
      <x:c r="Y94" s="32"/>
      <x:c r="Z94" s="32"/>
      <x:c r="AA94" s="32"/>
      <x:c r="AB94" s="32" t="str">
        <x:f>IF(COUNTA(X94:AA94)=0,"",ROUND((X94*0.35)+(Y94*0.20)+(Z94*0.20)+(AA94*0.25),2))</x:f>
      </x:c>
      <x:c r="AC94" s="25"/>
    </x:row>
    <x:row r="95">
      <x:c r="A95" s="25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30"/>
      <x:c r="O95" s="30"/>
      <x:c r="P95" s="25"/>
      <x:c r="Q95" s="25"/>
      <x:c r="R95" s="25"/>
      <x:c r="S95" s="28"/>
      <x:c r="T95" s="28"/>
      <x:c r="U95" s="25"/>
      <x:c r="V95" s="25"/>
      <x:c r="W95" s="25"/>
      <x:c r="X95" s="32"/>
      <x:c r="Y95" s="32"/>
      <x:c r="Z95" s="32"/>
      <x:c r="AA95" s="32"/>
      <x:c r="AB95" s="32" t="str">
        <x:f>IF(COUNTA(X95:AA95)=0,"",ROUND((X95*0.35)+(Y95*0.20)+(Z95*0.20)+(AA95*0.25),2))</x:f>
      </x:c>
      <x:c r="AC95" s="25"/>
    </x:row>
    <x:row r="96">
      <x:c r="A96" s="25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30"/>
      <x:c r="O96" s="30"/>
      <x:c r="P96" s="25"/>
      <x:c r="Q96" s="25"/>
      <x:c r="R96" s="25"/>
      <x:c r="S96" s="28"/>
      <x:c r="T96" s="28"/>
      <x:c r="U96" s="25"/>
      <x:c r="V96" s="25"/>
      <x:c r="W96" s="25"/>
      <x:c r="X96" s="32"/>
      <x:c r="Y96" s="32"/>
      <x:c r="Z96" s="32"/>
      <x:c r="AA96" s="32"/>
      <x:c r="AB96" s="32" t="str">
        <x:f>IF(COUNTA(X96:AA96)=0,"",ROUND((X96*0.35)+(Y96*0.20)+(Z96*0.20)+(AA96*0.25),2))</x:f>
      </x:c>
      <x:c r="AC96" s="25"/>
    </x:row>
    <x:row r="97">
      <x:c r="A97" s="25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30"/>
      <x:c r="O97" s="30"/>
      <x:c r="P97" s="25"/>
      <x:c r="Q97" s="25"/>
      <x:c r="R97" s="25"/>
      <x:c r="S97" s="28"/>
      <x:c r="T97" s="28"/>
      <x:c r="U97" s="25"/>
      <x:c r="V97" s="25"/>
      <x:c r="W97" s="25"/>
      <x:c r="X97" s="32"/>
      <x:c r="Y97" s="32"/>
      <x:c r="Z97" s="32"/>
      <x:c r="AA97" s="32"/>
      <x:c r="AB97" s="32" t="str">
        <x:f>IF(COUNTA(X97:AA97)=0,"",ROUND((X97*0.35)+(Y97*0.20)+(Z97*0.20)+(AA97*0.25),2))</x:f>
      </x:c>
      <x:c r="AC97" s="25"/>
    </x:row>
    <x:row r="98">
      <x:c r="A98" s="25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30"/>
      <x:c r="O98" s="30"/>
      <x:c r="P98" s="25"/>
      <x:c r="Q98" s="25"/>
      <x:c r="R98" s="25"/>
      <x:c r="S98" s="28"/>
      <x:c r="T98" s="28"/>
      <x:c r="U98" s="25"/>
      <x:c r="V98" s="25"/>
      <x:c r="W98" s="25"/>
      <x:c r="X98" s="32"/>
      <x:c r="Y98" s="32"/>
      <x:c r="Z98" s="32"/>
      <x:c r="AA98" s="32"/>
      <x:c r="AB98" s="32" t="str">
        <x:f>IF(COUNTA(X98:AA98)=0,"",ROUND((X98*0.35)+(Y98*0.20)+(Z98*0.20)+(AA98*0.25),2))</x:f>
      </x:c>
      <x:c r="AC98" s="25"/>
    </x:row>
    <x:row r="99">
      <x:c r="A99" s="25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30"/>
      <x:c r="O99" s="30"/>
      <x:c r="P99" s="25"/>
      <x:c r="Q99" s="25"/>
      <x:c r="R99" s="25"/>
      <x:c r="S99" s="28"/>
      <x:c r="T99" s="28"/>
      <x:c r="U99" s="25"/>
      <x:c r="V99" s="25"/>
      <x:c r="W99" s="25"/>
      <x:c r="X99" s="32"/>
      <x:c r="Y99" s="32"/>
      <x:c r="Z99" s="32"/>
      <x:c r="AA99" s="32"/>
      <x:c r="AB99" s="32" t="str">
        <x:f>IF(COUNTA(X99:AA99)=0,"",ROUND((X99*0.35)+(Y99*0.20)+(Z99*0.20)+(AA99*0.25),2))</x:f>
      </x:c>
      <x:c r="AC99" s="25"/>
    </x:row>
    <x:row r="100">
      <x:c r="A100" s="25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30"/>
      <x:c r="O100" s="30"/>
      <x:c r="P100" s="25"/>
      <x:c r="Q100" s="25"/>
      <x:c r="R100" s="25"/>
      <x:c r="S100" s="28"/>
      <x:c r="T100" s="28"/>
      <x:c r="U100" s="25"/>
      <x:c r="V100" s="25"/>
      <x:c r="W100" s="25"/>
      <x:c r="X100" s="32"/>
      <x:c r="Y100" s="32"/>
      <x:c r="Z100" s="32"/>
      <x:c r="AA100" s="32"/>
      <x:c r="AB100" s="32" t="str">
        <x:f>IF(COUNTA(X100:AA100)=0,"",ROUND((X100*0.35)+(Y100*0.20)+(Z100*0.20)+(AA100*0.25),2))</x:f>
      </x:c>
      <x:c r="AC100" s="25"/>
    </x:row>
    <x:row r="101">
      <x:c r="A101" s="25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30"/>
      <x:c r="O101" s="30"/>
      <x:c r="P101" s="25"/>
      <x:c r="Q101" s="25"/>
      <x:c r="R101" s="25"/>
      <x:c r="S101" s="28"/>
      <x:c r="T101" s="28"/>
      <x:c r="U101" s="25"/>
      <x:c r="V101" s="25"/>
      <x:c r="W101" s="25"/>
      <x:c r="X101" s="32"/>
      <x:c r="Y101" s="32"/>
      <x:c r="Z101" s="32"/>
      <x:c r="AA101" s="32"/>
      <x:c r="AB101" s="32" t="str">
        <x:f>IF(COUNTA(X101:AA101)=0,"",ROUND((X101*0.35)+(Y101*0.20)+(Z101*0.20)+(AA101*0.25),2))</x:f>
      </x:c>
      <x:c r="AC101" s="25"/>
    </x:row>
    <x:row r="102">
      <x:c r="A102" s="25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30"/>
      <x:c r="O102" s="30"/>
      <x:c r="P102" s="25"/>
      <x:c r="Q102" s="25"/>
      <x:c r="R102" s="25"/>
      <x:c r="S102" s="28"/>
      <x:c r="T102" s="28"/>
      <x:c r="U102" s="25"/>
      <x:c r="V102" s="25"/>
      <x:c r="W102" s="25"/>
      <x:c r="X102" s="32"/>
      <x:c r="Y102" s="32"/>
      <x:c r="Z102" s="32"/>
      <x:c r="AA102" s="32"/>
      <x:c r="AB102" s="32" t="str">
        <x:f>IF(COUNTA(X102:AA102)=0,"",ROUND((X102*0.35)+(Y102*0.20)+(Z102*0.20)+(AA102*0.25),2))</x:f>
      </x:c>
      <x:c r="AC102" s="25"/>
    </x:row>
    <x:row r="103">
      <x:c r="A103" s="25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30"/>
      <x:c r="O103" s="30"/>
      <x:c r="P103" s="25"/>
      <x:c r="Q103" s="25"/>
      <x:c r="R103" s="25"/>
      <x:c r="S103" s="28"/>
      <x:c r="T103" s="28"/>
      <x:c r="U103" s="25"/>
      <x:c r="V103" s="25"/>
      <x:c r="W103" s="25"/>
      <x:c r="X103" s="32"/>
      <x:c r="Y103" s="32"/>
      <x:c r="Z103" s="32"/>
      <x:c r="AA103" s="32"/>
      <x:c r="AB103" s="32" t="str">
        <x:f>IF(COUNTA(X103:AA103)=0,"",ROUND((X103*0.35)+(Y103*0.20)+(Z103*0.20)+(AA103*0.25),2))</x:f>
      </x:c>
      <x:c r="AC103" s="25"/>
    </x:row>
    <x:row r="104">
      <x:c r="A104" s="25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30"/>
      <x:c r="O104" s="30"/>
      <x:c r="P104" s="25"/>
      <x:c r="Q104" s="25"/>
      <x:c r="R104" s="25"/>
      <x:c r="S104" s="28"/>
      <x:c r="T104" s="28"/>
      <x:c r="U104" s="25"/>
      <x:c r="V104" s="25"/>
      <x:c r="W104" s="25"/>
      <x:c r="X104" s="32"/>
      <x:c r="Y104" s="32"/>
      <x:c r="Z104" s="32"/>
      <x:c r="AA104" s="32"/>
      <x:c r="AB104" s="32" t="str">
        <x:f>IF(COUNTA(X104:AA104)=0,"",ROUND((X104*0.35)+(Y104*0.20)+(Z104*0.20)+(AA104*0.25),2))</x:f>
      </x:c>
      <x:c r="AC104" s="25"/>
    </x:row>
    <x:row r="105">
      <x:c r="A105" s="25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30"/>
      <x:c r="O105" s="30"/>
      <x:c r="P105" s="25"/>
      <x:c r="Q105" s="25"/>
      <x:c r="R105" s="25"/>
      <x:c r="S105" s="28"/>
      <x:c r="T105" s="28"/>
      <x:c r="U105" s="25"/>
      <x:c r="V105" s="25"/>
      <x:c r="W105" s="25"/>
      <x:c r="X105" s="32"/>
      <x:c r="Y105" s="32"/>
      <x:c r="Z105" s="32"/>
      <x:c r="AA105" s="32"/>
      <x:c r="AB105" s="32" t="str">
        <x:f>IF(COUNTA(X105:AA105)=0,"",ROUND((X105*0.35)+(Y105*0.20)+(Z105*0.20)+(AA105*0.25),2))</x:f>
      </x:c>
      <x:c r="AC105" s="25"/>
    </x:row>
    <x:row r="106">
      <x:c r="A106" s="25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30"/>
      <x:c r="O106" s="30"/>
      <x:c r="P106" s="25"/>
      <x:c r="Q106" s="25"/>
      <x:c r="R106" s="25"/>
      <x:c r="S106" s="28"/>
      <x:c r="T106" s="28"/>
      <x:c r="U106" s="25"/>
      <x:c r="V106" s="25"/>
      <x:c r="W106" s="25"/>
      <x:c r="X106" s="32"/>
      <x:c r="Y106" s="32"/>
      <x:c r="Z106" s="32"/>
      <x:c r="AA106" s="32"/>
      <x:c r="AB106" s="32" t="str">
        <x:f>IF(COUNTA(X106:AA106)=0,"",ROUND((X106*0.35)+(Y106*0.20)+(Z106*0.20)+(AA106*0.25),2))</x:f>
      </x:c>
      <x:c r="AC106" s="25"/>
    </x:row>
    <x:row r="107">
      <x:c r="A107" s="25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30"/>
      <x:c r="O107" s="30"/>
      <x:c r="P107" s="25"/>
      <x:c r="Q107" s="25"/>
      <x:c r="R107" s="25"/>
      <x:c r="S107" s="28"/>
      <x:c r="T107" s="28"/>
      <x:c r="U107" s="25"/>
      <x:c r="V107" s="25"/>
      <x:c r="W107" s="25"/>
      <x:c r="X107" s="32"/>
      <x:c r="Y107" s="32"/>
      <x:c r="Z107" s="32"/>
      <x:c r="AA107" s="32"/>
      <x:c r="AB107" s="32" t="str">
        <x:f>IF(COUNTA(X107:AA107)=0,"",ROUND((X107*0.35)+(Y107*0.20)+(Z107*0.20)+(AA107*0.25),2))</x:f>
      </x:c>
      <x:c r="AC107" s="25"/>
    </x:row>
    <x:row r="108">
      <x:c r="A108" s="25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30"/>
      <x:c r="O108" s="30"/>
      <x:c r="P108" s="25"/>
      <x:c r="Q108" s="25"/>
      <x:c r="R108" s="25"/>
      <x:c r="S108" s="28"/>
      <x:c r="T108" s="28"/>
      <x:c r="U108" s="25"/>
      <x:c r="V108" s="25"/>
      <x:c r="W108" s="25"/>
      <x:c r="X108" s="32"/>
      <x:c r="Y108" s="32"/>
      <x:c r="Z108" s="32"/>
      <x:c r="AA108" s="32"/>
      <x:c r="AB108" s="32" t="str">
        <x:f>IF(COUNTA(X108:AA108)=0,"",ROUND((X108*0.35)+(Y108*0.20)+(Z108*0.20)+(AA108*0.25),2))</x:f>
      </x:c>
      <x:c r="AC108" s="25"/>
    </x:row>
    <x:row r="109">
      <x:c r="A109" s="25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30"/>
      <x:c r="O109" s="30"/>
      <x:c r="P109" s="25"/>
      <x:c r="Q109" s="25"/>
      <x:c r="R109" s="25"/>
      <x:c r="S109" s="28"/>
      <x:c r="T109" s="28"/>
      <x:c r="U109" s="25"/>
      <x:c r="V109" s="25"/>
      <x:c r="W109" s="25"/>
      <x:c r="X109" s="32"/>
      <x:c r="Y109" s="32"/>
      <x:c r="Z109" s="32"/>
      <x:c r="AA109" s="32"/>
      <x:c r="AB109" s="32" t="str">
        <x:f>IF(COUNTA(X109:AA109)=0,"",ROUND((X109*0.35)+(Y109*0.20)+(Z109*0.20)+(AA109*0.25),2))</x:f>
      </x:c>
      <x:c r="AC109" s="25"/>
    </x:row>
    <x:row r="110">
      <x:c r="A110" s="25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30"/>
      <x:c r="O110" s="30"/>
      <x:c r="P110" s="25"/>
      <x:c r="Q110" s="25"/>
      <x:c r="R110" s="25"/>
      <x:c r="S110" s="28"/>
      <x:c r="T110" s="28"/>
      <x:c r="U110" s="25"/>
      <x:c r="V110" s="25"/>
      <x:c r="W110" s="25"/>
      <x:c r="X110" s="32"/>
      <x:c r="Y110" s="32"/>
      <x:c r="Z110" s="32"/>
      <x:c r="AA110" s="32"/>
      <x:c r="AB110" s="32" t="str">
        <x:f>IF(COUNTA(X110:AA110)=0,"",ROUND((X110*0.35)+(Y110*0.20)+(Z110*0.20)+(AA110*0.25),2))</x:f>
      </x:c>
      <x:c r="AC110" s="25"/>
    </x:row>
    <x:row r="111">
      <x:c r="A111" s="25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30"/>
      <x:c r="O111" s="30"/>
      <x:c r="P111" s="25"/>
      <x:c r="Q111" s="25"/>
      <x:c r="R111" s="25"/>
      <x:c r="S111" s="28"/>
      <x:c r="T111" s="28"/>
      <x:c r="U111" s="25"/>
      <x:c r="V111" s="25"/>
      <x:c r="W111" s="25"/>
      <x:c r="X111" s="32"/>
      <x:c r="Y111" s="32"/>
      <x:c r="Z111" s="32"/>
      <x:c r="AA111" s="32"/>
      <x:c r="AB111" s="32" t="str">
        <x:f>IF(COUNTA(X111:AA111)=0,"",ROUND((X111*0.35)+(Y111*0.20)+(Z111*0.20)+(AA111*0.25),2))</x:f>
      </x:c>
      <x:c r="AC111" s="25"/>
    </x:row>
    <x:row r="112">
      <x:c r="A112" s="25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30"/>
      <x:c r="O112" s="30"/>
      <x:c r="P112" s="25"/>
      <x:c r="Q112" s="25"/>
      <x:c r="R112" s="25"/>
      <x:c r="S112" s="28"/>
      <x:c r="T112" s="28"/>
      <x:c r="U112" s="25"/>
      <x:c r="V112" s="25"/>
      <x:c r="W112" s="25"/>
      <x:c r="X112" s="32"/>
      <x:c r="Y112" s="32"/>
      <x:c r="Z112" s="32"/>
      <x:c r="AA112" s="32"/>
      <x:c r="AB112" s="32" t="str">
        <x:f>IF(COUNTA(X112:AA112)=0,"",ROUND((X112*0.35)+(Y112*0.20)+(Z112*0.20)+(AA112*0.25),2))</x:f>
      </x:c>
      <x:c r="AC112" s="25"/>
    </x:row>
    <x:row r="113">
      <x:c r="A113" s="25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30"/>
      <x:c r="O113" s="30"/>
      <x:c r="P113" s="25"/>
      <x:c r="Q113" s="25"/>
      <x:c r="R113" s="25"/>
      <x:c r="S113" s="28"/>
      <x:c r="T113" s="28"/>
      <x:c r="U113" s="25"/>
      <x:c r="V113" s="25"/>
      <x:c r="W113" s="25"/>
      <x:c r="X113" s="32"/>
      <x:c r="Y113" s="32"/>
      <x:c r="Z113" s="32"/>
      <x:c r="AA113" s="32"/>
      <x:c r="AB113" s="32" t="str">
        <x:f>IF(COUNTA(X113:AA113)=0,"",ROUND((X113*0.35)+(Y113*0.20)+(Z113*0.20)+(AA113*0.25),2))</x:f>
      </x:c>
      <x:c r="AC113" s="25"/>
    </x:row>
    <x:row r="114">
      <x:c r="A114" s="25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30"/>
      <x:c r="O114" s="30"/>
      <x:c r="P114" s="25"/>
      <x:c r="Q114" s="25"/>
      <x:c r="R114" s="25"/>
      <x:c r="S114" s="28"/>
      <x:c r="T114" s="28"/>
      <x:c r="U114" s="25"/>
      <x:c r="V114" s="25"/>
      <x:c r="W114" s="25"/>
      <x:c r="X114" s="32"/>
      <x:c r="Y114" s="32"/>
      <x:c r="Z114" s="32"/>
      <x:c r="AA114" s="32"/>
      <x:c r="AB114" s="32" t="str">
        <x:f>IF(COUNTA(X114:AA114)=0,"",ROUND((X114*0.35)+(Y114*0.20)+(Z114*0.20)+(AA114*0.25),2))</x:f>
      </x:c>
      <x:c r="AC114" s="25"/>
    </x:row>
    <x:row r="115">
      <x:c r="A115" s="25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30"/>
      <x:c r="O115" s="30"/>
      <x:c r="P115" s="25"/>
      <x:c r="Q115" s="25"/>
      <x:c r="R115" s="25"/>
      <x:c r="S115" s="28"/>
      <x:c r="T115" s="28"/>
      <x:c r="U115" s="25"/>
      <x:c r="V115" s="25"/>
      <x:c r="W115" s="25"/>
      <x:c r="X115" s="32"/>
      <x:c r="Y115" s="32"/>
      <x:c r="Z115" s="32"/>
      <x:c r="AA115" s="32"/>
      <x:c r="AB115" s="32" t="str">
        <x:f>IF(COUNTA(X115:AA115)=0,"",ROUND((X115*0.35)+(Y115*0.20)+(Z115*0.20)+(AA115*0.25),2))</x:f>
      </x:c>
      <x:c r="AC115" s="25"/>
    </x:row>
    <x:row r="116">
      <x:c r="A116" s="25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30"/>
      <x:c r="O116" s="30"/>
      <x:c r="P116" s="25"/>
      <x:c r="Q116" s="25"/>
      <x:c r="R116" s="25"/>
      <x:c r="S116" s="28"/>
      <x:c r="T116" s="28"/>
      <x:c r="U116" s="25"/>
      <x:c r="V116" s="25"/>
      <x:c r="W116" s="25"/>
      <x:c r="X116" s="32"/>
      <x:c r="Y116" s="32"/>
      <x:c r="Z116" s="32"/>
      <x:c r="AA116" s="32"/>
      <x:c r="AB116" s="32" t="str">
        <x:f>IF(COUNTA(X116:AA116)=0,"",ROUND((X116*0.35)+(Y116*0.20)+(Z116*0.20)+(AA116*0.25),2))</x:f>
      </x:c>
      <x:c r="AC116" s="25"/>
    </x:row>
    <x:row r="117">
      <x:c r="A117" s="25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30"/>
      <x:c r="O117" s="30"/>
      <x:c r="P117" s="25"/>
      <x:c r="Q117" s="25"/>
      <x:c r="R117" s="25"/>
      <x:c r="S117" s="28"/>
      <x:c r="T117" s="28"/>
      <x:c r="U117" s="25"/>
      <x:c r="V117" s="25"/>
      <x:c r="W117" s="25"/>
      <x:c r="X117" s="32"/>
      <x:c r="Y117" s="32"/>
      <x:c r="Z117" s="32"/>
      <x:c r="AA117" s="32"/>
      <x:c r="AB117" s="32" t="str">
        <x:f>IF(COUNTA(X117:AA117)=0,"",ROUND((X117*0.35)+(Y117*0.20)+(Z117*0.20)+(AA117*0.25),2))</x:f>
      </x:c>
      <x:c r="AC117" s="25"/>
    </x:row>
    <x:row r="118">
      <x:c r="A118" s="25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30"/>
      <x:c r="O118" s="30"/>
      <x:c r="P118" s="25"/>
      <x:c r="Q118" s="25"/>
      <x:c r="R118" s="25"/>
      <x:c r="S118" s="28"/>
      <x:c r="T118" s="28"/>
      <x:c r="U118" s="25"/>
      <x:c r="V118" s="25"/>
      <x:c r="W118" s="25"/>
      <x:c r="X118" s="32"/>
      <x:c r="Y118" s="32"/>
      <x:c r="Z118" s="32"/>
      <x:c r="AA118" s="32"/>
      <x:c r="AB118" s="32" t="str">
        <x:f>IF(COUNTA(X118:AA118)=0,"",ROUND((X118*0.35)+(Y118*0.20)+(Z118*0.20)+(AA118*0.25),2))</x:f>
      </x:c>
      <x:c r="AC118" s="25"/>
    </x:row>
    <x:row r="119">
      <x:c r="A119" s="25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30"/>
      <x:c r="O119" s="30"/>
      <x:c r="P119" s="25"/>
      <x:c r="Q119" s="25"/>
      <x:c r="R119" s="25"/>
      <x:c r="S119" s="28"/>
      <x:c r="T119" s="28"/>
      <x:c r="U119" s="25"/>
      <x:c r="V119" s="25"/>
      <x:c r="W119" s="25"/>
      <x:c r="X119" s="32"/>
      <x:c r="Y119" s="32"/>
      <x:c r="Z119" s="32"/>
      <x:c r="AA119" s="32"/>
      <x:c r="AB119" s="32" t="str">
        <x:f>IF(COUNTA(X119:AA119)=0,"",ROUND((X119*0.35)+(Y119*0.20)+(Z119*0.20)+(AA119*0.25),2))</x:f>
      </x:c>
      <x:c r="AC119" s="25"/>
    </x:row>
    <x:row r="120">
      <x:c r="A120" s="25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30"/>
      <x:c r="O120" s="30"/>
      <x:c r="P120" s="25"/>
      <x:c r="Q120" s="25"/>
      <x:c r="R120" s="25"/>
      <x:c r="S120" s="28"/>
      <x:c r="T120" s="28"/>
      <x:c r="U120" s="25"/>
      <x:c r="V120" s="25"/>
      <x:c r="W120" s="25"/>
      <x:c r="X120" s="32"/>
      <x:c r="Y120" s="32"/>
      <x:c r="Z120" s="32"/>
      <x:c r="AA120" s="32"/>
      <x:c r="AB120" s="32" t="str">
        <x:f>IF(COUNTA(X120:AA120)=0,"",ROUND((X120*0.35)+(Y120*0.20)+(Z120*0.20)+(AA120*0.25),2))</x:f>
      </x:c>
      <x:c r="AC120" s="25"/>
    </x:row>
    <x:row r="121">
      <x:c r="A121" s="25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30"/>
      <x:c r="O121" s="30"/>
      <x:c r="P121" s="25"/>
      <x:c r="Q121" s="25"/>
      <x:c r="R121" s="25"/>
      <x:c r="S121" s="28"/>
      <x:c r="T121" s="28"/>
      <x:c r="U121" s="25"/>
      <x:c r="V121" s="25"/>
      <x:c r="W121" s="25"/>
      <x:c r="X121" s="32"/>
      <x:c r="Y121" s="32"/>
      <x:c r="Z121" s="32"/>
      <x:c r="AA121" s="32"/>
      <x:c r="AB121" s="32" t="str">
        <x:f>IF(COUNTA(X121:AA121)=0,"",ROUND((X121*0.35)+(Y121*0.20)+(Z121*0.20)+(AA121*0.25),2))</x:f>
      </x:c>
      <x:c r="AC121" s="25"/>
    </x:row>
    <x:row r="122">
      <x:c r="A122" s="25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30"/>
      <x:c r="O122" s="30"/>
      <x:c r="P122" s="25"/>
      <x:c r="Q122" s="25"/>
      <x:c r="R122" s="25"/>
      <x:c r="S122" s="28"/>
      <x:c r="T122" s="28"/>
      <x:c r="U122" s="25"/>
      <x:c r="V122" s="25"/>
      <x:c r="W122" s="25"/>
      <x:c r="X122" s="32"/>
      <x:c r="Y122" s="32"/>
      <x:c r="Z122" s="32"/>
      <x:c r="AA122" s="32"/>
      <x:c r="AB122" s="32" t="str">
        <x:f>IF(COUNTA(X122:AA122)=0,"",ROUND((X122*0.35)+(Y122*0.20)+(Z122*0.20)+(AA122*0.25),2))</x:f>
      </x:c>
      <x:c r="AC122" s="25"/>
    </x:row>
    <x:row r="123">
      <x:c r="A123" s="25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30"/>
      <x:c r="O123" s="30"/>
      <x:c r="P123" s="25"/>
      <x:c r="Q123" s="25"/>
      <x:c r="R123" s="25"/>
      <x:c r="S123" s="28"/>
      <x:c r="T123" s="28"/>
      <x:c r="U123" s="25"/>
      <x:c r="V123" s="25"/>
      <x:c r="W123" s="25"/>
      <x:c r="X123" s="32"/>
      <x:c r="Y123" s="32"/>
      <x:c r="Z123" s="32"/>
      <x:c r="AA123" s="32"/>
      <x:c r="AB123" s="32" t="str">
        <x:f>IF(COUNTA(X123:AA123)=0,"",ROUND((X123*0.35)+(Y123*0.20)+(Z123*0.20)+(AA123*0.25),2))</x:f>
      </x:c>
      <x:c r="AC123" s="25"/>
    </x:row>
    <x:row r="124">
      <x:c r="A124" s="25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30"/>
      <x:c r="O124" s="30"/>
      <x:c r="P124" s="25"/>
      <x:c r="Q124" s="25"/>
      <x:c r="R124" s="25"/>
      <x:c r="S124" s="28"/>
      <x:c r="T124" s="28"/>
      <x:c r="U124" s="25"/>
      <x:c r="V124" s="25"/>
      <x:c r="W124" s="25"/>
      <x:c r="X124" s="32"/>
      <x:c r="Y124" s="32"/>
      <x:c r="Z124" s="32"/>
      <x:c r="AA124" s="32"/>
      <x:c r="AB124" s="32" t="str">
        <x:f>IF(COUNTA(X124:AA124)=0,"",ROUND((X124*0.35)+(Y124*0.20)+(Z124*0.20)+(AA124*0.25),2))</x:f>
      </x:c>
      <x:c r="AC124" s="25"/>
    </x:row>
    <x:row r="125">
      <x:c r="A125" s="25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30"/>
      <x:c r="O125" s="30"/>
      <x:c r="P125" s="25"/>
      <x:c r="Q125" s="25"/>
      <x:c r="R125" s="25"/>
      <x:c r="S125" s="28"/>
      <x:c r="T125" s="28"/>
      <x:c r="U125" s="25"/>
      <x:c r="V125" s="25"/>
      <x:c r="W125" s="25"/>
      <x:c r="X125" s="32"/>
      <x:c r="Y125" s="32"/>
      <x:c r="Z125" s="32"/>
      <x:c r="AA125" s="32"/>
      <x:c r="AB125" s="32" t="str">
        <x:f>IF(COUNTA(X125:AA125)=0,"",ROUND((X125*0.35)+(Y125*0.20)+(Z125*0.20)+(AA125*0.25),2))</x:f>
      </x:c>
      <x:c r="AC125" s="25"/>
    </x:row>
    <x:row r="126">
      <x:c r="A126" s="25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30"/>
      <x:c r="O126" s="30"/>
      <x:c r="P126" s="25"/>
      <x:c r="Q126" s="25"/>
      <x:c r="R126" s="25"/>
      <x:c r="S126" s="28"/>
      <x:c r="T126" s="28"/>
      <x:c r="U126" s="25"/>
      <x:c r="V126" s="25"/>
      <x:c r="W126" s="25"/>
      <x:c r="X126" s="32"/>
      <x:c r="Y126" s="32"/>
      <x:c r="Z126" s="32"/>
      <x:c r="AA126" s="32"/>
      <x:c r="AB126" s="32" t="str">
        <x:f>IF(COUNTA(X126:AA126)=0,"",ROUND((X126*0.35)+(Y126*0.20)+(Z126*0.20)+(AA126*0.25),2))</x:f>
      </x:c>
      <x:c r="AC126" s="25"/>
    </x:row>
    <x:row r="127">
      <x:c r="A127" s="25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30"/>
      <x:c r="O127" s="30"/>
      <x:c r="P127" s="25"/>
      <x:c r="Q127" s="25"/>
      <x:c r="R127" s="25"/>
      <x:c r="S127" s="28"/>
      <x:c r="T127" s="28"/>
      <x:c r="U127" s="25"/>
      <x:c r="V127" s="25"/>
      <x:c r="W127" s="25"/>
      <x:c r="X127" s="32"/>
      <x:c r="Y127" s="32"/>
      <x:c r="Z127" s="32"/>
      <x:c r="AA127" s="32"/>
      <x:c r="AB127" s="32" t="str">
        <x:f>IF(COUNTA(X127:AA127)=0,"",ROUND((X127*0.35)+(Y127*0.20)+(Z127*0.20)+(AA127*0.25),2))</x:f>
      </x:c>
      <x:c r="AC127" s="25"/>
    </x:row>
    <x:row r="128">
      <x:c r="A128" s="25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30"/>
      <x:c r="O128" s="30"/>
      <x:c r="P128" s="25"/>
      <x:c r="Q128" s="25"/>
      <x:c r="R128" s="25"/>
      <x:c r="S128" s="28"/>
      <x:c r="T128" s="28"/>
      <x:c r="U128" s="25"/>
      <x:c r="V128" s="25"/>
      <x:c r="W128" s="25"/>
      <x:c r="X128" s="32"/>
      <x:c r="Y128" s="32"/>
      <x:c r="Z128" s="32"/>
      <x:c r="AA128" s="32"/>
      <x:c r="AB128" s="32" t="str">
        <x:f>IF(COUNTA(X128:AA128)=0,"",ROUND((X128*0.35)+(Y128*0.20)+(Z128*0.20)+(AA128*0.25),2))</x:f>
      </x:c>
      <x:c r="AC128" s="25"/>
    </x:row>
    <x:row r="129">
      <x:c r="A129" s="25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30"/>
      <x:c r="O129" s="30"/>
      <x:c r="P129" s="25"/>
      <x:c r="Q129" s="25"/>
      <x:c r="R129" s="25"/>
      <x:c r="S129" s="28"/>
      <x:c r="T129" s="28"/>
      <x:c r="U129" s="25"/>
      <x:c r="V129" s="25"/>
      <x:c r="W129" s="25"/>
      <x:c r="X129" s="32"/>
      <x:c r="Y129" s="32"/>
      <x:c r="Z129" s="32"/>
      <x:c r="AA129" s="32"/>
      <x:c r="AB129" s="32" t="str">
        <x:f>IF(COUNTA(X129:AA129)=0,"",ROUND((X129*0.35)+(Y129*0.20)+(Z129*0.20)+(AA129*0.25),2))</x:f>
      </x:c>
      <x:c r="AC129" s="25"/>
    </x:row>
    <x:row r="130">
      <x:c r="A130" s="25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30"/>
      <x:c r="O130" s="30"/>
      <x:c r="P130" s="25"/>
      <x:c r="Q130" s="25"/>
      <x:c r="R130" s="25"/>
      <x:c r="S130" s="28"/>
      <x:c r="T130" s="28"/>
      <x:c r="U130" s="25"/>
      <x:c r="V130" s="25"/>
      <x:c r="W130" s="25"/>
      <x:c r="X130" s="32"/>
      <x:c r="Y130" s="32"/>
      <x:c r="Z130" s="32"/>
      <x:c r="AA130" s="32"/>
      <x:c r="AB130" s="32" t="str">
        <x:f>IF(COUNTA(X130:AA130)=0,"",ROUND((X130*0.35)+(Y130*0.20)+(Z130*0.20)+(AA130*0.25),2))</x:f>
      </x:c>
      <x:c r="AC130" s="25"/>
    </x:row>
    <x:row r="131">
      <x:c r="A131" s="25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30"/>
      <x:c r="O131" s="30"/>
      <x:c r="P131" s="25"/>
      <x:c r="Q131" s="25"/>
      <x:c r="R131" s="25"/>
      <x:c r="S131" s="28"/>
      <x:c r="T131" s="28"/>
      <x:c r="U131" s="25"/>
      <x:c r="V131" s="25"/>
      <x:c r="W131" s="25"/>
      <x:c r="X131" s="32"/>
      <x:c r="Y131" s="32"/>
      <x:c r="Z131" s="32"/>
      <x:c r="AA131" s="32"/>
      <x:c r="AB131" s="32" t="str">
        <x:f>IF(COUNTA(X131:AA131)=0,"",ROUND((X131*0.35)+(Y131*0.20)+(Z131*0.20)+(AA131*0.25),2))</x:f>
      </x:c>
      <x:c r="AC131" s="25"/>
    </x:row>
    <x:row r="132">
      <x:c r="A132" s="25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30"/>
      <x:c r="O132" s="30"/>
      <x:c r="P132" s="25"/>
      <x:c r="Q132" s="25"/>
      <x:c r="R132" s="25"/>
      <x:c r="S132" s="28"/>
      <x:c r="T132" s="28"/>
      <x:c r="U132" s="25"/>
      <x:c r="V132" s="25"/>
      <x:c r="W132" s="25"/>
      <x:c r="X132" s="32"/>
      <x:c r="Y132" s="32"/>
      <x:c r="Z132" s="32"/>
      <x:c r="AA132" s="32"/>
      <x:c r="AB132" s="32" t="str">
        <x:f>IF(COUNTA(X132:AA132)=0,"",ROUND((X132*0.35)+(Y132*0.20)+(Z132*0.20)+(AA132*0.25),2))</x:f>
      </x:c>
      <x:c r="AC132" s="25"/>
    </x:row>
    <x:row r="133">
      <x:c r="A133" s="25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30"/>
      <x:c r="O133" s="30"/>
      <x:c r="P133" s="25"/>
      <x:c r="Q133" s="25"/>
      <x:c r="R133" s="25"/>
      <x:c r="S133" s="28"/>
      <x:c r="T133" s="28"/>
      <x:c r="U133" s="25"/>
      <x:c r="V133" s="25"/>
      <x:c r="W133" s="25"/>
      <x:c r="X133" s="32"/>
      <x:c r="Y133" s="32"/>
      <x:c r="Z133" s="32"/>
      <x:c r="AA133" s="32"/>
      <x:c r="AB133" s="32" t="str">
        <x:f>IF(COUNTA(X133:AA133)=0,"",ROUND((X133*0.35)+(Y133*0.20)+(Z133*0.20)+(AA133*0.25),2))</x:f>
      </x:c>
      <x:c r="AC133" s="25"/>
    </x:row>
    <x:row r="134">
      <x:c r="A134" s="25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30"/>
      <x:c r="O134" s="30"/>
      <x:c r="P134" s="25"/>
      <x:c r="Q134" s="25"/>
      <x:c r="R134" s="25"/>
      <x:c r="S134" s="28"/>
      <x:c r="T134" s="28"/>
      <x:c r="U134" s="25"/>
      <x:c r="V134" s="25"/>
      <x:c r="W134" s="25"/>
      <x:c r="X134" s="32"/>
      <x:c r="Y134" s="32"/>
      <x:c r="Z134" s="32"/>
      <x:c r="AA134" s="32"/>
      <x:c r="AB134" s="32" t="str">
        <x:f>IF(COUNTA(X134:AA134)=0,"",ROUND((X134*0.35)+(Y134*0.20)+(Z134*0.20)+(AA134*0.25),2))</x:f>
      </x:c>
      <x:c r="AC134" s="25"/>
    </x:row>
    <x:row r="135">
      <x:c r="A135" s="25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30"/>
      <x:c r="O135" s="30"/>
      <x:c r="P135" s="25"/>
      <x:c r="Q135" s="25"/>
      <x:c r="R135" s="25"/>
      <x:c r="S135" s="28"/>
      <x:c r="T135" s="28"/>
      <x:c r="U135" s="25"/>
      <x:c r="V135" s="25"/>
      <x:c r="W135" s="25"/>
      <x:c r="X135" s="32"/>
      <x:c r="Y135" s="32"/>
      <x:c r="Z135" s="32"/>
      <x:c r="AA135" s="32"/>
      <x:c r="AB135" s="32" t="str">
        <x:f>IF(COUNTA(X135:AA135)=0,"",ROUND((X135*0.35)+(Y135*0.20)+(Z135*0.20)+(AA135*0.25),2))</x:f>
      </x:c>
      <x:c r="AC135" s="25"/>
    </x:row>
    <x:row r="136">
      <x:c r="A136" s="25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30"/>
      <x:c r="O136" s="30"/>
      <x:c r="P136" s="25"/>
      <x:c r="Q136" s="25"/>
      <x:c r="R136" s="25"/>
      <x:c r="S136" s="28"/>
      <x:c r="T136" s="28"/>
      <x:c r="U136" s="25"/>
      <x:c r="V136" s="25"/>
      <x:c r="W136" s="25"/>
      <x:c r="X136" s="32"/>
      <x:c r="Y136" s="32"/>
      <x:c r="Z136" s="32"/>
      <x:c r="AA136" s="32"/>
      <x:c r="AB136" s="32" t="str">
        <x:f>IF(COUNTA(X136:AA136)=0,"",ROUND((X136*0.35)+(Y136*0.20)+(Z136*0.20)+(AA136*0.25),2))</x:f>
      </x:c>
      <x:c r="AC136" s="25"/>
    </x:row>
    <x:row r="137">
      <x:c r="A137" s="25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30"/>
      <x:c r="O137" s="30"/>
      <x:c r="P137" s="25"/>
      <x:c r="Q137" s="25"/>
      <x:c r="R137" s="25"/>
      <x:c r="S137" s="28"/>
      <x:c r="T137" s="28"/>
      <x:c r="U137" s="25"/>
      <x:c r="V137" s="25"/>
      <x:c r="W137" s="25"/>
      <x:c r="X137" s="32"/>
      <x:c r="Y137" s="32"/>
      <x:c r="Z137" s="32"/>
      <x:c r="AA137" s="32"/>
      <x:c r="AB137" s="32" t="str">
        <x:f>IF(COUNTA(X137:AA137)=0,"",ROUND((X137*0.35)+(Y137*0.20)+(Z137*0.20)+(AA137*0.25),2))</x:f>
      </x:c>
      <x:c r="AC137" s="25"/>
    </x:row>
    <x:row r="138">
      <x:c r="A138" s="25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30"/>
      <x:c r="O138" s="30"/>
      <x:c r="P138" s="25"/>
      <x:c r="Q138" s="25"/>
      <x:c r="R138" s="25"/>
      <x:c r="S138" s="28"/>
      <x:c r="T138" s="28"/>
      <x:c r="U138" s="25"/>
      <x:c r="V138" s="25"/>
      <x:c r="W138" s="25"/>
      <x:c r="X138" s="32"/>
      <x:c r="Y138" s="32"/>
      <x:c r="Z138" s="32"/>
      <x:c r="AA138" s="32"/>
      <x:c r="AB138" s="32" t="str">
        <x:f>IF(COUNTA(X138:AA138)=0,"",ROUND((X138*0.35)+(Y138*0.20)+(Z138*0.20)+(AA138*0.25),2))</x:f>
      </x:c>
      <x:c r="AC138" s="25"/>
    </x:row>
    <x:row r="139">
      <x:c r="A139" s="25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30"/>
      <x:c r="O139" s="30"/>
      <x:c r="P139" s="25"/>
      <x:c r="Q139" s="25"/>
      <x:c r="R139" s="25"/>
      <x:c r="S139" s="28"/>
      <x:c r="T139" s="28"/>
      <x:c r="U139" s="25"/>
      <x:c r="V139" s="25"/>
      <x:c r="W139" s="25"/>
      <x:c r="X139" s="32"/>
      <x:c r="Y139" s="32"/>
      <x:c r="Z139" s="32"/>
      <x:c r="AA139" s="32"/>
      <x:c r="AB139" s="32" t="str">
        <x:f>IF(COUNTA(X139:AA139)=0,"",ROUND((X139*0.35)+(Y139*0.20)+(Z139*0.20)+(AA139*0.25),2))</x:f>
      </x:c>
      <x:c r="AC139" s="25"/>
    </x:row>
    <x:row r="140">
      <x:c r="A140" s="25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30"/>
      <x:c r="O140" s="30"/>
      <x:c r="P140" s="25"/>
      <x:c r="Q140" s="25"/>
      <x:c r="R140" s="25"/>
      <x:c r="S140" s="28"/>
      <x:c r="T140" s="28"/>
      <x:c r="U140" s="25"/>
      <x:c r="V140" s="25"/>
      <x:c r="W140" s="25"/>
      <x:c r="X140" s="32"/>
      <x:c r="Y140" s="32"/>
      <x:c r="Z140" s="32"/>
      <x:c r="AA140" s="32"/>
      <x:c r="AB140" s="32" t="str">
        <x:f>IF(COUNTA(X140:AA140)=0,"",ROUND((X140*0.35)+(Y140*0.20)+(Z140*0.20)+(AA140*0.25),2))</x:f>
      </x:c>
      <x:c r="AC140" s="25"/>
    </x:row>
    <x:row r="141">
      <x:c r="A141" s="25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30"/>
      <x:c r="O141" s="30"/>
      <x:c r="P141" s="25"/>
      <x:c r="Q141" s="25"/>
      <x:c r="R141" s="25"/>
      <x:c r="S141" s="28"/>
      <x:c r="T141" s="28"/>
      <x:c r="U141" s="25"/>
      <x:c r="V141" s="25"/>
      <x:c r="W141" s="25"/>
      <x:c r="X141" s="32"/>
      <x:c r="Y141" s="32"/>
      <x:c r="Z141" s="32"/>
      <x:c r="AA141" s="32"/>
      <x:c r="AB141" s="32" t="str">
        <x:f>IF(COUNTA(X141:AA141)=0,"",ROUND((X141*0.35)+(Y141*0.20)+(Z141*0.20)+(AA141*0.25),2))</x:f>
      </x:c>
      <x:c r="AC141" s="25"/>
    </x:row>
    <x:row r="142">
      <x:c r="A142" s="25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30"/>
      <x:c r="O142" s="30"/>
      <x:c r="P142" s="25"/>
      <x:c r="Q142" s="25"/>
      <x:c r="R142" s="25"/>
      <x:c r="S142" s="28"/>
      <x:c r="T142" s="28"/>
      <x:c r="U142" s="25"/>
      <x:c r="V142" s="25"/>
      <x:c r="W142" s="25"/>
      <x:c r="X142" s="32"/>
      <x:c r="Y142" s="32"/>
      <x:c r="Z142" s="32"/>
      <x:c r="AA142" s="32"/>
      <x:c r="AB142" s="32" t="str">
        <x:f>IF(COUNTA(X142:AA142)=0,"",ROUND((X142*0.35)+(Y142*0.20)+(Z142*0.20)+(AA142*0.25),2))</x:f>
      </x:c>
      <x:c r="AC142" s="25"/>
    </x:row>
    <x:row r="143">
      <x:c r="A143" s="25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30"/>
      <x:c r="O143" s="30"/>
      <x:c r="P143" s="25"/>
      <x:c r="Q143" s="25"/>
      <x:c r="R143" s="25"/>
      <x:c r="S143" s="28"/>
      <x:c r="T143" s="28"/>
      <x:c r="U143" s="25"/>
      <x:c r="V143" s="25"/>
      <x:c r="W143" s="25"/>
      <x:c r="X143" s="32"/>
      <x:c r="Y143" s="32"/>
      <x:c r="Z143" s="32"/>
      <x:c r="AA143" s="32"/>
      <x:c r="AB143" s="32" t="str">
        <x:f>IF(COUNTA(X143:AA143)=0,"",ROUND((X143*0.35)+(Y143*0.20)+(Z143*0.20)+(AA143*0.25),2))</x:f>
      </x:c>
      <x:c r="AC143" s="25"/>
    </x:row>
    <x:row r="144">
      <x:c r="A144" s="25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30"/>
      <x:c r="O144" s="30"/>
      <x:c r="P144" s="25"/>
      <x:c r="Q144" s="25"/>
      <x:c r="R144" s="25"/>
      <x:c r="S144" s="28"/>
      <x:c r="T144" s="28"/>
      <x:c r="U144" s="25"/>
      <x:c r="V144" s="25"/>
      <x:c r="W144" s="25"/>
      <x:c r="X144" s="32"/>
      <x:c r="Y144" s="32"/>
      <x:c r="Z144" s="32"/>
      <x:c r="AA144" s="32"/>
      <x:c r="AB144" s="32" t="str">
        <x:f>IF(COUNTA(X144:AA144)=0,"",ROUND((X144*0.35)+(Y144*0.20)+(Z144*0.20)+(AA144*0.25),2))</x:f>
      </x:c>
      <x:c r="AC144" s="25"/>
    </x:row>
    <x:row r="145">
      <x:c r="A145" s="25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30"/>
      <x:c r="O145" s="30"/>
      <x:c r="P145" s="25"/>
      <x:c r="Q145" s="25"/>
      <x:c r="R145" s="25"/>
      <x:c r="S145" s="28"/>
      <x:c r="T145" s="28"/>
      <x:c r="U145" s="25"/>
      <x:c r="V145" s="25"/>
      <x:c r="W145" s="25"/>
      <x:c r="X145" s="32"/>
      <x:c r="Y145" s="32"/>
      <x:c r="Z145" s="32"/>
      <x:c r="AA145" s="32"/>
      <x:c r="AB145" s="32" t="str">
        <x:f>IF(COUNTA(X145:AA145)=0,"",ROUND((X145*0.35)+(Y145*0.20)+(Z145*0.20)+(AA145*0.25),2))</x:f>
      </x:c>
      <x:c r="AC145" s="25"/>
    </x:row>
    <x:row r="146">
      <x:c r="A146" s="25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30"/>
      <x:c r="O146" s="30"/>
      <x:c r="P146" s="25"/>
      <x:c r="Q146" s="25"/>
      <x:c r="R146" s="25"/>
      <x:c r="S146" s="28"/>
      <x:c r="T146" s="28"/>
      <x:c r="U146" s="25"/>
      <x:c r="V146" s="25"/>
      <x:c r="W146" s="25"/>
      <x:c r="X146" s="32"/>
      <x:c r="Y146" s="32"/>
      <x:c r="Z146" s="32"/>
      <x:c r="AA146" s="32"/>
      <x:c r="AB146" s="32" t="str">
        <x:f>IF(COUNTA(X146:AA146)=0,"",ROUND((X146*0.35)+(Y146*0.20)+(Z146*0.20)+(AA146*0.25),2))</x:f>
      </x:c>
      <x:c r="AC146" s="25"/>
    </x:row>
    <x:row r="147">
      <x:c r="A147" s="25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30"/>
      <x:c r="O147" s="30"/>
      <x:c r="P147" s="25"/>
      <x:c r="Q147" s="25"/>
      <x:c r="R147" s="25"/>
      <x:c r="S147" s="28"/>
      <x:c r="T147" s="28"/>
      <x:c r="U147" s="25"/>
      <x:c r="V147" s="25"/>
      <x:c r="W147" s="25"/>
      <x:c r="X147" s="32"/>
      <x:c r="Y147" s="32"/>
      <x:c r="Z147" s="32"/>
      <x:c r="AA147" s="32"/>
      <x:c r="AB147" s="32" t="str">
        <x:f>IF(COUNTA(X147:AA147)=0,"",ROUND((X147*0.35)+(Y147*0.20)+(Z147*0.20)+(AA147*0.25),2))</x:f>
      </x:c>
      <x:c r="AC147" s="25"/>
    </x:row>
    <x:row r="148">
      <x:c r="A148" s="25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30"/>
      <x:c r="O148" s="30"/>
      <x:c r="P148" s="25"/>
      <x:c r="Q148" s="25"/>
      <x:c r="R148" s="25"/>
      <x:c r="S148" s="28"/>
      <x:c r="T148" s="28"/>
      <x:c r="U148" s="25"/>
      <x:c r="V148" s="25"/>
      <x:c r="W148" s="25"/>
      <x:c r="X148" s="32"/>
      <x:c r="Y148" s="32"/>
      <x:c r="Z148" s="32"/>
      <x:c r="AA148" s="32"/>
      <x:c r="AB148" s="32" t="str">
        <x:f>IF(COUNTA(X148:AA148)=0,"",ROUND((X148*0.35)+(Y148*0.20)+(Z148*0.20)+(AA148*0.25),2))</x:f>
      </x:c>
      <x:c r="AC148" s="25"/>
    </x:row>
    <x:row r="149">
      <x:c r="A149" s="25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30"/>
      <x:c r="O149" s="30"/>
      <x:c r="P149" s="25"/>
      <x:c r="Q149" s="25"/>
      <x:c r="R149" s="25"/>
      <x:c r="S149" s="28"/>
      <x:c r="T149" s="28"/>
      <x:c r="U149" s="25"/>
      <x:c r="V149" s="25"/>
      <x:c r="W149" s="25"/>
      <x:c r="X149" s="32"/>
      <x:c r="Y149" s="32"/>
      <x:c r="Z149" s="32"/>
      <x:c r="AA149" s="32"/>
      <x:c r="AB149" s="32" t="str">
        <x:f>IF(COUNTA(X149:AA149)=0,"",ROUND((X149*0.35)+(Y149*0.20)+(Z149*0.20)+(AA149*0.25),2))</x:f>
      </x:c>
      <x:c r="AC149" s="25"/>
    </x:row>
    <x:row r="150">
      <x:c r="A150" s="25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30"/>
      <x:c r="O150" s="30"/>
      <x:c r="P150" s="25"/>
      <x:c r="Q150" s="25"/>
      <x:c r="R150" s="25"/>
      <x:c r="S150" s="28"/>
      <x:c r="T150" s="28"/>
      <x:c r="U150" s="25"/>
      <x:c r="V150" s="25"/>
      <x:c r="W150" s="25"/>
      <x:c r="X150" s="32"/>
      <x:c r="Y150" s="32"/>
      <x:c r="Z150" s="32"/>
      <x:c r="AA150" s="32"/>
      <x:c r="AB150" s="32" t="str">
        <x:f>IF(COUNTA(X150:AA150)=0,"",ROUND((X150*0.35)+(Y150*0.20)+(Z150*0.20)+(AA150*0.25),2))</x:f>
      </x:c>
      <x:c r="AC150" s="25"/>
    </x:row>
    <x:row r="151">
      <x:c r="A151" s="25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30"/>
      <x:c r="O151" s="30"/>
      <x:c r="P151" s="25"/>
      <x:c r="Q151" s="25"/>
      <x:c r="R151" s="25"/>
      <x:c r="S151" s="28"/>
      <x:c r="T151" s="28"/>
      <x:c r="U151" s="25"/>
      <x:c r="V151" s="25"/>
      <x:c r="W151" s="25"/>
      <x:c r="X151" s="32"/>
      <x:c r="Y151" s="32"/>
      <x:c r="Z151" s="32"/>
      <x:c r="AA151" s="32"/>
      <x:c r="AB151" s="32" t="str">
        <x:f>IF(COUNTA(X151:AA151)=0,"",ROUND((X151*0.35)+(Y151*0.20)+(Z151*0.20)+(AA151*0.25),2))</x:f>
      </x:c>
      <x:c r="AC151" s="25"/>
    </x:row>
    <x:row r="152">
      <x:c r="A152" s="25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30"/>
      <x:c r="O152" s="30"/>
      <x:c r="P152" s="25"/>
      <x:c r="Q152" s="25"/>
      <x:c r="R152" s="25"/>
      <x:c r="S152" s="28"/>
      <x:c r="T152" s="28"/>
      <x:c r="U152" s="25"/>
      <x:c r="V152" s="25"/>
      <x:c r="W152" s="25"/>
      <x:c r="X152" s="32"/>
      <x:c r="Y152" s="32"/>
      <x:c r="Z152" s="32"/>
      <x:c r="AA152" s="32"/>
      <x:c r="AB152" s="32" t="str">
        <x:f>IF(COUNTA(X152:AA152)=0,"",ROUND((X152*0.35)+(Y152*0.20)+(Z152*0.20)+(AA152*0.25),2))</x:f>
      </x:c>
      <x:c r="AC152" s="25"/>
    </x:row>
    <x:row r="153">
      <x:c r="A153" s="25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30"/>
      <x:c r="O153" s="30"/>
      <x:c r="P153" s="25"/>
      <x:c r="Q153" s="25"/>
      <x:c r="R153" s="25"/>
      <x:c r="S153" s="28"/>
      <x:c r="T153" s="28"/>
      <x:c r="U153" s="25"/>
      <x:c r="V153" s="25"/>
      <x:c r="W153" s="25"/>
      <x:c r="X153" s="32"/>
      <x:c r="Y153" s="32"/>
      <x:c r="Z153" s="32"/>
      <x:c r="AA153" s="32"/>
      <x:c r="AB153" s="32" t="str">
        <x:f>IF(COUNTA(X153:AA153)=0,"",ROUND((X153*0.35)+(Y153*0.20)+(Z153*0.20)+(AA153*0.25),2))</x:f>
      </x:c>
      <x:c r="AC153" s="25"/>
    </x:row>
    <x:row r="154">
      <x:c r="A154" s="25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30"/>
      <x:c r="O154" s="30"/>
      <x:c r="P154" s="25"/>
      <x:c r="Q154" s="25"/>
      <x:c r="R154" s="25"/>
      <x:c r="S154" s="28"/>
      <x:c r="T154" s="28"/>
      <x:c r="U154" s="25"/>
      <x:c r="V154" s="25"/>
      <x:c r="W154" s="25"/>
      <x:c r="X154" s="32"/>
      <x:c r="Y154" s="32"/>
      <x:c r="Z154" s="32"/>
      <x:c r="AA154" s="32"/>
      <x:c r="AB154" s="32" t="str">
        <x:f>IF(COUNTA(X154:AA154)=0,"",ROUND((X154*0.35)+(Y154*0.20)+(Z154*0.20)+(AA154*0.25),2))</x:f>
      </x:c>
      <x:c r="AC154" s="25"/>
    </x:row>
    <x:row r="155">
      <x:c r="A155" s="25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30"/>
      <x:c r="O155" s="30"/>
      <x:c r="P155" s="25"/>
      <x:c r="Q155" s="25"/>
      <x:c r="R155" s="25"/>
      <x:c r="S155" s="28"/>
      <x:c r="T155" s="28"/>
      <x:c r="U155" s="25"/>
      <x:c r="V155" s="25"/>
      <x:c r="W155" s="25"/>
      <x:c r="X155" s="32"/>
      <x:c r="Y155" s="32"/>
      <x:c r="Z155" s="32"/>
      <x:c r="AA155" s="32"/>
      <x:c r="AB155" s="32" t="str">
        <x:f>IF(COUNTA(X155:AA155)=0,"",ROUND((X155*0.35)+(Y155*0.20)+(Z155*0.20)+(AA155*0.25),2))</x:f>
      </x:c>
      <x:c r="AC155" s="25"/>
    </x:row>
    <x:row r="156">
      <x:c r="A156" s="25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30"/>
      <x:c r="O156" s="30"/>
      <x:c r="P156" s="25"/>
      <x:c r="Q156" s="25"/>
      <x:c r="R156" s="25"/>
      <x:c r="S156" s="28"/>
      <x:c r="T156" s="28"/>
      <x:c r="U156" s="25"/>
      <x:c r="V156" s="25"/>
      <x:c r="W156" s="25"/>
      <x:c r="X156" s="32"/>
      <x:c r="Y156" s="32"/>
      <x:c r="Z156" s="32"/>
      <x:c r="AA156" s="32"/>
      <x:c r="AB156" s="32" t="str">
        <x:f>IF(COUNTA(X156:AA156)=0,"",ROUND((X156*0.35)+(Y156*0.20)+(Z156*0.20)+(AA156*0.25),2))</x:f>
      </x:c>
      <x:c r="AC156" s="25"/>
    </x:row>
    <x:row r="157">
      <x:c r="A157" s="25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30"/>
      <x:c r="O157" s="30"/>
      <x:c r="P157" s="25"/>
      <x:c r="Q157" s="25"/>
      <x:c r="R157" s="25"/>
      <x:c r="S157" s="28"/>
      <x:c r="T157" s="28"/>
      <x:c r="U157" s="25"/>
      <x:c r="V157" s="25"/>
      <x:c r="W157" s="25"/>
      <x:c r="X157" s="32"/>
      <x:c r="Y157" s="32"/>
      <x:c r="Z157" s="32"/>
      <x:c r="AA157" s="32"/>
      <x:c r="AB157" s="32" t="str">
        <x:f>IF(COUNTA(X157:AA157)=0,"",ROUND((X157*0.35)+(Y157*0.20)+(Z157*0.20)+(AA157*0.25),2))</x:f>
      </x:c>
      <x:c r="AC157" s="25"/>
    </x:row>
    <x:row r="158">
      <x:c r="A158" s="25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30"/>
      <x:c r="O158" s="30"/>
      <x:c r="P158" s="25"/>
      <x:c r="Q158" s="25"/>
      <x:c r="R158" s="25"/>
      <x:c r="S158" s="28"/>
      <x:c r="T158" s="28"/>
      <x:c r="U158" s="25"/>
      <x:c r="V158" s="25"/>
      <x:c r="W158" s="25"/>
      <x:c r="X158" s="32"/>
      <x:c r="Y158" s="32"/>
      <x:c r="Z158" s="32"/>
      <x:c r="AA158" s="32"/>
      <x:c r="AB158" s="32" t="str">
        <x:f>IF(COUNTA(X158:AA158)=0,"",ROUND((X158*0.35)+(Y158*0.20)+(Z158*0.20)+(AA158*0.25),2))</x:f>
      </x:c>
      <x:c r="AC158" s="25"/>
    </x:row>
    <x:row r="159">
      <x:c r="A159" s="25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30"/>
      <x:c r="O159" s="30"/>
      <x:c r="P159" s="25"/>
      <x:c r="Q159" s="25"/>
      <x:c r="R159" s="25"/>
      <x:c r="S159" s="28"/>
      <x:c r="T159" s="28"/>
      <x:c r="U159" s="25"/>
      <x:c r="V159" s="25"/>
      <x:c r="W159" s="25"/>
      <x:c r="X159" s="32"/>
      <x:c r="Y159" s="32"/>
      <x:c r="Z159" s="32"/>
      <x:c r="AA159" s="32"/>
      <x:c r="AB159" s="32" t="str">
        <x:f>IF(COUNTA(X159:AA159)=0,"",ROUND((X159*0.35)+(Y159*0.20)+(Z159*0.20)+(AA159*0.25),2))</x:f>
      </x:c>
      <x:c r="AC159" s="25"/>
    </x:row>
    <x:row r="160">
      <x:c r="A160" s="25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30"/>
      <x:c r="O160" s="30"/>
      <x:c r="P160" s="25"/>
      <x:c r="Q160" s="25"/>
      <x:c r="R160" s="25"/>
      <x:c r="S160" s="28"/>
      <x:c r="T160" s="28"/>
      <x:c r="U160" s="25"/>
      <x:c r="V160" s="25"/>
      <x:c r="W160" s="25"/>
      <x:c r="X160" s="32"/>
      <x:c r="Y160" s="32"/>
      <x:c r="Z160" s="32"/>
      <x:c r="AA160" s="32"/>
      <x:c r="AB160" s="32" t="str">
        <x:f>IF(COUNTA(X160:AA160)=0,"",ROUND((X160*0.35)+(Y160*0.20)+(Z160*0.20)+(AA160*0.25),2))</x:f>
      </x:c>
      <x:c r="AC160" s="25"/>
    </x:row>
    <x:row r="161">
      <x:c r="A161" s="25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30"/>
      <x:c r="O161" s="30"/>
      <x:c r="P161" s="25"/>
      <x:c r="Q161" s="25"/>
      <x:c r="R161" s="25"/>
      <x:c r="S161" s="28"/>
      <x:c r="T161" s="28"/>
      <x:c r="U161" s="25"/>
      <x:c r="V161" s="25"/>
      <x:c r="W161" s="25"/>
      <x:c r="X161" s="32"/>
      <x:c r="Y161" s="32"/>
      <x:c r="Z161" s="32"/>
      <x:c r="AA161" s="32"/>
      <x:c r="AB161" s="32" t="str">
        <x:f>IF(COUNTA(X161:AA161)=0,"",ROUND((X161*0.35)+(Y161*0.20)+(Z161*0.20)+(AA161*0.25),2))</x:f>
      </x:c>
      <x:c r="AC161" s="25"/>
    </x:row>
    <x:row r="162">
      <x:c r="A162" s="25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30"/>
      <x:c r="O162" s="30"/>
      <x:c r="P162" s="25"/>
      <x:c r="Q162" s="25"/>
      <x:c r="R162" s="25"/>
      <x:c r="S162" s="28"/>
      <x:c r="T162" s="28"/>
      <x:c r="U162" s="25"/>
      <x:c r="V162" s="25"/>
      <x:c r="W162" s="25"/>
      <x:c r="X162" s="32"/>
      <x:c r="Y162" s="32"/>
      <x:c r="Z162" s="32"/>
      <x:c r="AA162" s="32"/>
      <x:c r="AB162" s="32" t="str">
        <x:f>IF(COUNTA(X162:AA162)=0,"",ROUND((X162*0.35)+(Y162*0.20)+(Z162*0.20)+(AA162*0.25),2))</x:f>
      </x:c>
      <x:c r="AC162" s="25"/>
    </x:row>
    <x:row r="163">
      <x:c r="A163" s="25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30"/>
      <x:c r="O163" s="30"/>
      <x:c r="P163" s="25"/>
      <x:c r="Q163" s="25"/>
      <x:c r="R163" s="25"/>
      <x:c r="S163" s="28"/>
      <x:c r="T163" s="28"/>
      <x:c r="U163" s="25"/>
      <x:c r="V163" s="25"/>
      <x:c r="W163" s="25"/>
      <x:c r="X163" s="32"/>
      <x:c r="Y163" s="32"/>
      <x:c r="Z163" s="32"/>
      <x:c r="AA163" s="32"/>
      <x:c r="AB163" s="32" t="str">
        <x:f>IF(COUNTA(X163:AA163)=0,"",ROUND((X163*0.35)+(Y163*0.20)+(Z163*0.20)+(AA163*0.25),2))</x:f>
      </x:c>
      <x:c r="AC163" s="25"/>
    </x:row>
    <x:row r="164">
      <x:c r="A164" s="25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30"/>
      <x:c r="O164" s="30"/>
      <x:c r="P164" s="25"/>
      <x:c r="Q164" s="25"/>
      <x:c r="R164" s="25"/>
      <x:c r="S164" s="28"/>
      <x:c r="T164" s="28"/>
      <x:c r="U164" s="25"/>
      <x:c r="V164" s="25"/>
      <x:c r="W164" s="25"/>
      <x:c r="X164" s="32"/>
      <x:c r="Y164" s="32"/>
      <x:c r="Z164" s="32"/>
      <x:c r="AA164" s="32"/>
      <x:c r="AB164" s="32" t="str">
        <x:f>IF(COUNTA(X164:AA164)=0,"",ROUND((X164*0.35)+(Y164*0.20)+(Z164*0.20)+(AA164*0.25),2))</x:f>
      </x:c>
      <x:c r="AC164" s="25"/>
    </x:row>
    <x:row r="165">
      <x:c r="A165" s="25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30"/>
      <x:c r="O165" s="30"/>
      <x:c r="P165" s="25"/>
      <x:c r="Q165" s="25"/>
      <x:c r="R165" s="25"/>
      <x:c r="S165" s="28"/>
      <x:c r="T165" s="28"/>
      <x:c r="U165" s="25"/>
      <x:c r="V165" s="25"/>
      <x:c r="W165" s="25"/>
      <x:c r="X165" s="32"/>
      <x:c r="Y165" s="32"/>
      <x:c r="Z165" s="32"/>
      <x:c r="AA165" s="32"/>
      <x:c r="AB165" s="32" t="str">
        <x:f>IF(COUNTA(X165:AA165)=0,"",ROUND((X165*0.35)+(Y165*0.20)+(Z165*0.20)+(AA165*0.25),2))</x:f>
      </x:c>
      <x:c r="AC165" s="25"/>
    </x:row>
    <x:row r="166">
      <x:c r="A166" s="25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30"/>
      <x:c r="O166" s="30"/>
      <x:c r="P166" s="25"/>
      <x:c r="Q166" s="25"/>
      <x:c r="R166" s="25"/>
      <x:c r="S166" s="28"/>
      <x:c r="T166" s="28"/>
      <x:c r="U166" s="25"/>
      <x:c r="V166" s="25"/>
      <x:c r="W166" s="25"/>
      <x:c r="X166" s="32"/>
      <x:c r="Y166" s="32"/>
      <x:c r="Z166" s="32"/>
      <x:c r="AA166" s="32"/>
      <x:c r="AB166" s="32" t="str">
        <x:f>IF(COUNTA(X166:AA166)=0,"",ROUND((X166*0.35)+(Y166*0.20)+(Z166*0.20)+(AA166*0.25),2))</x:f>
      </x:c>
      <x:c r="AC166" s="25"/>
    </x:row>
    <x:row r="167">
      <x:c r="A167" s="25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30"/>
      <x:c r="O167" s="30"/>
      <x:c r="P167" s="25"/>
      <x:c r="Q167" s="25"/>
      <x:c r="R167" s="25"/>
      <x:c r="S167" s="28"/>
      <x:c r="T167" s="28"/>
      <x:c r="U167" s="25"/>
      <x:c r="V167" s="25"/>
      <x:c r="W167" s="25"/>
      <x:c r="X167" s="32"/>
      <x:c r="Y167" s="32"/>
      <x:c r="Z167" s="32"/>
      <x:c r="AA167" s="32"/>
      <x:c r="AB167" s="32" t="str">
        <x:f>IF(COUNTA(X167:AA167)=0,"",ROUND((X167*0.35)+(Y167*0.20)+(Z167*0.20)+(AA167*0.25),2))</x:f>
      </x:c>
      <x:c r="AC167" s="25"/>
    </x:row>
    <x:row r="168">
      <x:c r="A168" s="25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30"/>
      <x:c r="O168" s="30"/>
      <x:c r="P168" s="25"/>
      <x:c r="Q168" s="25"/>
      <x:c r="R168" s="25"/>
      <x:c r="S168" s="28"/>
      <x:c r="T168" s="28"/>
      <x:c r="U168" s="25"/>
      <x:c r="V168" s="25"/>
      <x:c r="W168" s="25"/>
      <x:c r="X168" s="32"/>
      <x:c r="Y168" s="32"/>
      <x:c r="Z168" s="32"/>
      <x:c r="AA168" s="32"/>
      <x:c r="AB168" s="32" t="str">
        <x:f>IF(COUNTA(X168:AA168)=0,"",ROUND((X168*0.35)+(Y168*0.20)+(Z168*0.20)+(AA168*0.25),2))</x:f>
      </x:c>
      <x:c r="AC168" s="25"/>
    </x:row>
    <x:row r="169">
      <x:c r="A169" s="25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30"/>
      <x:c r="O169" s="30"/>
      <x:c r="P169" s="25"/>
      <x:c r="Q169" s="25"/>
      <x:c r="R169" s="25"/>
      <x:c r="S169" s="28"/>
      <x:c r="T169" s="28"/>
      <x:c r="U169" s="25"/>
      <x:c r="V169" s="25"/>
      <x:c r="W169" s="25"/>
      <x:c r="X169" s="32"/>
      <x:c r="Y169" s="32"/>
      <x:c r="Z169" s="32"/>
      <x:c r="AA169" s="32"/>
      <x:c r="AB169" s="32" t="str">
        <x:f>IF(COUNTA(X169:AA169)=0,"",ROUND((X169*0.35)+(Y169*0.20)+(Z169*0.20)+(AA169*0.25),2))</x:f>
      </x:c>
      <x:c r="AC169" s="25"/>
    </x:row>
    <x:row r="170">
      <x:c r="A170" s="25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30"/>
      <x:c r="O170" s="30"/>
      <x:c r="P170" s="25"/>
      <x:c r="Q170" s="25"/>
      <x:c r="R170" s="25"/>
      <x:c r="S170" s="28"/>
      <x:c r="T170" s="28"/>
      <x:c r="U170" s="25"/>
      <x:c r="V170" s="25"/>
      <x:c r="W170" s="25"/>
      <x:c r="X170" s="32"/>
      <x:c r="Y170" s="32"/>
      <x:c r="Z170" s="32"/>
      <x:c r="AA170" s="32"/>
      <x:c r="AB170" s="32" t="str">
        <x:f>IF(COUNTA(X170:AA170)=0,"",ROUND((X170*0.35)+(Y170*0.20)+(Z170*0.20)+(AA170*0.25),2))</x:f>
      </x:c>
      <x:c r="AC170" s="25"/>
    </x:row>
    <x:row r="171">
      <x:c r="A171" s="25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30"/>
      <x:c r="O171" s="30"/>
      <x:c r="P171" s="25"/>
      <x:c r="Q171" s="25"/>
      <x:c r="R171" s="25"/>
      <x:c r="S171" s="28"/>
      <x:c r="T171" s="28"/>
      <x:c r="U171" s="25"/>
      <x:c r="V171" s="25"/>
      <x:c r="W171" s="25"/>
      <x:c r="X171" s="32"/>
      <x:c r="Y171" s="32"/>
      <x:c r="Z171" s="32"/>
      <x:c r="AA171" s="32"/>
      <x:c r="AB171" s="32" t="str">
        <x:f>IF(COUNTA(X171:AA171)=0,"",ROUND((X171*0.35)+(Y171*0.20)+(Z171*0.20)+(AA171*0.25),2))</x:f>
      </x:c>
      <x:c r="AC171" s="25"/>
    </x:row>
    <x:row r="172">
      <x:c r="A172" s="25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30"/>
      <x:c r="O172" s="30"/>
      <x:c r="P172" s="25"/>
      <x:c r="Q172" s="25"/>
      <x:c r="R172" s="25"/>
      <x:c r="S172" s="28"/>
      <x:c r="T172" s="28"/>
      <x:c r="U172" s="25"/>
      <x:c r="V172" s="25"/>
      <x:c r="W172" s="25"/>
      <x:c r="X172" s="32"/>
      <x:c r="Y172" s="32"/>
      <x:c r="Z172" s="32"/>
      <x:c r="AA172" s="32"/>
      <x:c r="AB172" s="32" t="str">
        <x:f>IF(COUNTA(X172:AA172)=0,"",ROUND((X172*0.35)+(Y172*0.20)+(Z172*0.20)+(AA172*0.25),2))</x:f>
      </x:c>
      <x:c r="AC172" s="25"/>
    </x:row>
    <x:row r="173">
      <x:c r="A173" s="25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30"/>
      <x:c r="O173" s="30"/>
      <x:c r="P173" s="25"/>
      <x:c r="Q173" s="25"/>
      <x:c r="R173" s="25"/>
      <x:c r="S173" s="28"/>
      <x:c r="T173" s="28"/>
      <x:c r="U173" s="25"/>
      <x:c r="V173" s="25"/>
      <x:c r="W173" s="25"/>
      <x:c r="X173" s="32"/>
      <x:c r="Y173" s="32"/>
      <x:c r="Z173" s="32"/>
      <x:c r="AA173" s="32"/>
      <x:c r="AB173" s="32" t="str">
        <x:f>IF(COUNTA(X173:AA173)=0,"",ROUND((X173*0.35)+(Y173*0.20)+(Z173*0.20)+(AA173*0.25),2))</x:f>
      </x:c>
      <x:c r="AC173" s="25"/>
    </x:row>
    <x:row r="174">
      <x:c r="A174" s="25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30"/>
      <x:c r="O174" s="30"/>
      <x:c r="P174" s="25"/>
      <x:c r="Q174" s="25"/>
      <x:c r="R174" s="25"/>
      <x:c r="S174" s="28"/>
      <x:c r="T174" s="28"/>
      <x:c r="U174" s="25"/>
      <x:c r="V174" s="25"/>
      <x:c r="W174" s="25"/>
      <x:c r="X174" s="32"/>
      <x:c r="Y174" s="32"/>
      <x:c r="Z174" s="32"/>
      <x:c r="AA174" s="32"/>
      <x:c r="AB174" s="32" t="str">
        <x:f>IF(COUNTA(X174:AA174)=0,"",ROUND((X174*0.35)+(Y174*0.20)+(Z174*0.20)+(AA174*0.25),2))</x:f>
      </x:c>
      <x:c r="AC174" s="25"/>
    </x:row>
    <x:row r="175">
      <x:c r="A175" s="25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30"/>
      <x:c r="O175" s="30"/>
      <x:c r="P175" s="25"/>
      <x:c r="Q175" s="25"/>
      <x:c r="R175" s="25"/>
      <x:c r="S175" s="28"/>
      <x:c r="T175" s="28"/>
      <x:c r="U175" s="25"/>
      <x:c r="V175" s="25"/>
      <x:c r="W175" s="25"/>
      <x:c r="X175" s="32"/>
      <x:c r="Y175" s="32"/>
      <x:c r="Z175" s="32"/>
      <x:c r="AA175" s="32"/>
      <x:c r="AB175" s="32" t="str">
        <x:f>IF(COUNTA(X175:AA175)=0,"",ROUND((X175*0.35)+(Y175*0.20)+(Z175*0.20)+(AA175*0.25),2))</x:f>
      </x:c>
      <x:c r="AC175" s="25"/>
    </x:row>
    <x:row r="176">
      <x:c r="A176" s="25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30"/>
      <x:c r="O176" s="30"/>
      <x:c r="P176" s="25"/>
      <x:c r="Q176" s="25"/>
      <x:c r="R176" s="25"/>
      <x:c r="S176" s="28"/>
      <x:c r="T176" s="28"/>
      <x:c r="U176" s="25"/>
      <x:c r="V176" s="25"/>
      <x:c r="W176" s="25"/>
      <x:c r="X176" s="32"/>
      <x:c r="Y176" s="32"/>
      <x:c r="Z176" s="32"/>
      <x:c r="AA176" s="32"/>
      <x:c r="AB176" s="32" t="str">
        <x:f>IF(COUNTA(X176:AA176)=0,"",ROUND((X176*0.35)+(Y176*0.20)+(Z176*0.20)+(AA176*0.25),2))</x:f>
      </x:c>
      <x:c r="AC176" s="25"/>
    </x:row>
    <x:row r="177">
      <x:c r="A177" s="25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30"/>
      <x:c r="O177" s="30"/>
      <x:c r="P177" s="25"/>
      <x:c r="Q177" s="25"/>
      <x:c r="R177" s="25"/>
      <x:c r="S177" s="28"/>
      <x:c r="T177" s="28"/>
      <x:c r="U177" s="25"/>
      <x:c r="V177" s="25"/>
      <x:c r="W177" s="25"/>
      <x:c r="X177" s="32"/>
      <x:c r="Y177" s="32"/>
      <x:c r="Z177" s="32"/>
      <x:c r="AA177" s="32"/>
      <x:c r="AB177" s="32" t="str">
        <x:f>IF(COUNTA(X177:AA177)=0,"",ROUND((X177*0.35)+(Y177*0.20)+(Z177*0.20)+(AA177*0.25),2))</x:f>
      </x:c>
      <x:c r="AC177" s="25"/>
    </x:row>
    <x:row r="178">
      <x:c r="A178" s="25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30"/>
      <x:c r="O178" s="30"/>
      <x:c r="P178" s="25"/>
      <x:c r="Q178" s="25"/>
      <x:c r="R178" s="25"/>
      <x:c r="S178" s="28"/>
      <x:c r="T178" s="28"/>
      <x:c r="U178" s="25"/>
      <x:c r="V178" s="25"/>
      <x:c r="W178" s="25"/>
      <x:c r="X178" s="32"/>
      <x:c r="Y178" s="32"/>
      <x:c r="Z178" s="32"/>
      <x:c r="AA178" s="32"/>
      <x:c r="AB178" s="32" t="str">
        <x:f>IF(COUNTA(X178:AA178)=0,"",ROUND((X178*0.35)+(Y178*0.20)+(Z178*0.20)+(AA178*0.25),2))</x:f>
      </x:c>
      <x:c r="AC178" s="25"/>
    </x:row>
    <x:row r="179">
      <x:c r="A179" s="25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30"/>
      <x:c r="O179" s="30"/>
      <x:c r="P179" s="25"/>
      <x:c r="Q179" s="25"/>
      <x:c r="R179" s="25"/>
      <x:c r="S179" s="28"/>
      <x:c r="T179" s="28"/>
      <x:c r="U179" s="25"/>
      <x:c r="V179" s="25"/>
      <x:c r="W179" s="25"/>
      <x:c r="X179" s="32"/>
      <x:c r="Y179" s="32"/>
      <x:c r="Z179" s="32"/>
      <x:c r="AA179" s="32"/>
      <x:c r="AB179" s="32" t="str">
        <x:f>IF(COUNTA(X179:AA179)=0,"",ROUND((X179*0.35)+(Y179*0.20)+(Z179*0.20)+(AA179*0.25),2))</x:f>
      </x:c>
      <x:c r="AC179" s="25"/>
    </x:row>
    <x:row r="180">
      <x:c r="A180" s="25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30"/>
      <x:c r="O180" s="30"/>
      <x:c r="P180" s="25"/>
      <x:c r="Q180" s="25"/>
      <x:c r="R180" s="25"/>
      <x:c r="S180" s="28"/>
      <x:c r="T180" s="28"/>
      <x:c r="U180" s="25"/>
      <x:c r="V180" s="25"/>
      <x:c r="W180" s="25"/>
      <x:c r="X180" s="32"/>
      <x:c r="Y180" s="32"/>
      <x:c r="Z180" s="32"/>
      <x:c r="AA180" s="32"/>
      <x:c r="AB180" s="32" t="str">
        <x:f>IF(COUNTA(X180:AA180)=0,"",ROUND((X180*0.35)+(Y180*0.20)+(Z180*0.20)+(AA180*0.25),2))</x:f>
      </x:c>
      <x:c r="AC180" s="25"/>
    </x:row>
    <x:row r="181">
      <x:c r="A181" s="25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30"/>
      <x:c r="O181" s="30"/>
      <x:c r="P181" s="25"/>
      <x:c r="Q181" s="25"/>
      <x:c r="R181" s="25"/>
      <x:c r="S181" s="28"/>
      <x:c r="T181" s="28"/>
      <x:c r="U181" s="25"/>
      <x:c r="V181" s="25"/>
      <x:c r="W181" s="25"/>
      <x:c r="X181" s="32"/>
      <x:c r="Y181" s="32"/>
      <x:c r="Z181" s="32"/>
      <x:c r="AA181" s="32"/>
      <x:c r="AB181" s="32" t="str">
        <x:f>IF(COUNTA(X181:AA181)=0,"",ROUND((X181*0.35)+(Y181*0.20)+(Z181*0.20)+(AA181*0.25),2))</x:f>
      </x:c>
      <x:c r="AC181" s="25"/>
    </x:row>
    <x:row r="182">
      <x:c r="A182" s="25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30"/>
      <x:c r="O182" s="30"/>
      <x:c r="P182" s="25"/>
      <x:c r="Q182" s="25"/>
      <x:c r="R182" s="25"/>
      <x:c r="S182" s="28"/>
      <x:c r="T182" s="28"/>
      <x:c r="U182" s="25"/>
      <x:c r="V182" s="25"/>
      <x:c r="W182" s="25"/>
      <x:c r="X182" s="32"/>
      <x:c r="Y182" s="32"/>
      <x:c r="Z182" s="32"/>
      <x:c r="AA182" s="32"/>
      <x:c r="AB182" s="32" t="str">
        <x:f>IF(COUNTA(X182:AA182)=0,"",ROUND((X182*0.35)+(Y182*0.20)+(Z182*0.20)+(AA182*0.25),2))</x:f>
      </x:c>
      <x:c r="AC182" s="25"/>
    </x:row>
    <x:row r="183">
      <x:c r="A183" s="25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30"/>
      <x:c r="O183" s="30"/>
      <x:c r="P183" s="25"/>
      <x:c r="Q183" s="25"/>
      <x:c r="R183" s="25"/>
      <x:c r="S183" s="28"/>
      <x:c r="T183" s="28"/>
      <x:c r="U183" s="25"/>
      <x:c r="V183" s="25"/>
      <x:c r="W183" s="25"/>
      <x:c r="X183" s="32"/>
      <x:c r="Y183" s="32"/>
      <x:c r="Z183" s="32"/>
      <x:c r="AA183" s="32"/>
      <x:c r="AB183" s="32" t="str">
        <x:f>IF(COUNTA(X183:AA183)=0,"",ROUND((X183*0.35)+(Y183*0.20)+(Z183*0.20)+(AA183*0.25),2))</x:f>
      </x:c>
      <x:c r="AC183" s="25"/>
    </x:row>
    <x:row r="184">
      <x:c r="A184" s="25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30"/>
      <x:c r="O184" s="30"/>
      <x:c r="P184" s="25"/>
      <x:c r="Q184" s="25"/>
      <x:c r="R184" s="25"/>
      <x:c r="S184" s="28"/>
      <x:c r="T184" s="28"/>
      <x:c r="U184" s="25"/>
      <x:c r="V184" s="25"/>
      <x:c r="W184" s="25"/>
      <x:c r="X184" s="32"/>
      <x:c r="Y184" s="32"/>
      <x:c r="Z184" s="32"/>
      <x:c r="AA184" s="32"/>
      <x:c r="AB184" s="32" t="str">
        <x:f>IF(COUNTA(X184:AA184)=0,"",ROUND((X184*0.35)+(Y184*0.20)+(Z184*0.20)+(AA184*0.25),2))</x:f>
      </x:c>
      <x:c r="AC184" s="25"/>
    </x:row>
    <x:row r="185">
      <x:c r="A185" s="25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30"/>
      <x:c r="O185" s="30"/>
      <x:c r="P185" s="25"/>
      <x:c r="Q185" s="25"/>
      <x:c r="R185" s="25"/>
      <x:c r="S185" s="28"/>
      <x:c r="T185" s="28"/>
      <x:c r="U185" s="25"/>
      <x:c r="V185" s="25"/>
      <x:c r="W185" s="25"/>
      <x:c r="X185" s="32"/>
      <x:c r="Y185" s="32"/>
      <x:c r="Z185" s="32"/>
      <x:c r="AA185" s="32"/>
      <x:c r="AB185" s="32" t="str">
        <x:f>IF(COUNTA(X185:AA185)=0,"",ROUND((X185*0.35)+(Y185*0.20)+(Z185*0.20)+(AA185*0.25),2))</x:f>
      </x:c>
      <x:c r="AC185" s="25"/>
    </x:row>
    <x:row r="186">
      <x:c r="A186" s="25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30"/>
      <x:c r="O186" s="30"/>
      <x:c r="P186" s="25"/>
      <x:c r="Q186" s="25"/>
      <x:c r="R186" s="25"/>
      <x:c r="S186" s="28"/>
      <x:c r="T186" s="28"/>
      <x:c r="U186" s="25"/>
      <x:c r="V186" s="25"/>
      <x:c r="W186" s="25"/>
      <x:c r="X186" s="32"/>
      <x:c r="Y186" s="32"/>
      <x:c r="Z186" s="32"/>
      <x:c r="AA186" s="32"/>
      <x:c r="AB186" s="32" t="str">
        <x:f>IF(COUNTA(X186:AA186)=0,"",ROUND((X186*0.35)+(Y186*0.20)+(Z186*0.20)+(AA186*0.25),2))</x:f>
      </x:c>
      <x:c r="AC186" s="25"/>
    </x:row>
    <x:row r="187">
      <x:c r="A187" s="25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30"/>
      <x:c r="O187" s="30"/>
      <x:c r="P187" s="25"/>
      <x:c r="Q187" s="25"/>
      <x:c r="R187" s="25"/>
      <x:c r="S187" s="28"/>
      <x:c r="T187" s="28"/>
      <x:c r="U187" s="25"/>
      <x:c r="V187" s="25"/>
      <x:c r="W187" s="25"/>
      <x:c r="X187" s="32"/>
      <x:c r="Y187" s="32"/>
      <x:c r="Z187" s="32"/>
      <x:c r="AA187" s="32"/>
      <x:c r="AB187" s="32" t="str">
        <x:f>IF(COUNTA(X187:AA187)=0,"",ROUND((X187*0.35)+(Y187*0.20)+(Z187*0.20)+(AA187*0.25),2))</x:f>
      </x:c>
      <x:c r="AC187" s="25"/>
    </x:row>
    <x:row r="188">
      <x:c r="A188" s="25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30"/>
      <x:c r="O188" s="30"/>
      <x:c r="P188" s="25"/>
      <x:c r="Q188" s="25"/>
      <x:c r="R188" s="25"/>
      <x:c r="S188" s="28"/>
      <x:c r="T188" s="28"/>
      <x:c r="U188" s="25"/>
      <x:c r="V188" s="25"/>
      <x:c r="W188" s="25"/>
      <x:c r="X188" s="32"/>
      <x:c r="Y188" s="32"/>
      <x:c r="Z188" s="32"/>
      <x:c r="AA188" s="32"/>
      <x:c r="AB188" s="32" t="str">
        <x:f>IF(COUNTA(X188:AA188)=0,"",ROUND((X188*0.35)+(Y188*0.20)+(Z188*0.20)+(AA188*0.25),2))</x:f>
      </x:c>
      <x:c r="AC188" s="25"/>
    </x:row>
    <x:row r="189">
      <x:c r="A189" s="25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30"/>
      <x:c r="O189" s="30"/>
      <x:c r="P189" s="25"/>
      <x:c r="Q189" s="25"/>
      <x:c r="R189" s="25"/>
      <x:c r="S189" s="28"/>
      <x:c r="T189" s="28"/>
      <x:c r="U189" s="25"/>
      <x:c r="V189" s="25"/>
      <x:c r="W189" s="25"/>
      <x:c r="X189" s="32"/>
      <x:c r="Y189" s="32"/>
      <x:c r="Z189" s="32"/>
      <x:c r="AA189" s="32"/>
      <x:c r="AB189" s="32" t="str">
        <x:f>IF(COUNTA(X189:AA189)=0,"",ROUND((X189*0.35)+(Y189*0.20)+(Z189*0.20)+(AA189*0.25),2))</x:f>
      </x:c>
      <x:c r="AC189" s="25"/>
    </x:row>
    <x:row r="190">
      <x:c r="A190" s="25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30"/>
      <x:c r="O190" s="30"/>
      <x:c r="P190" s="25"/>
      <x:c r="Q190" s="25"/>
      <x:c r="R190" s="25"/>
      <x:c r="S190" s="28"/>
      <x:c r="T190" s="28"/>
      <x:c r="U190" s="25"/>
      <x:c r="V190" s="25"/>
      <x:c r="W190" s="25"/>
      <x:c r="X190" s="32"/>
      <x:c r="Y190" s="32"/>
      <x:c r="Z190" s="32"/>
      <x:c r="AA190" s="32"/>
      <x:c r="AB190" s="32" t="str">
        <x:f>IF(COUNTA(X190:AA190)=0,"",ROUND((X190*0.35)+(Y190*0.20)+(Z190*0.20)+(AA190*0.25),2))</x:f>
      </x:c>
      <x:c r="AC190" s="25"/>
    </x:row>
    <x:row r="191">
      <x:c r="A191" s="25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30"/>
      <x:c r="O191" s="30"/>
      <x:c r="P191" s="25"/>
      <x:c r="Q191" s="25"/>
      <x:c r="R191" s="25"/>
      <x:c r="S191" s="28"/>
      <x:c r="T191" s="28"/>
      <x:c r="U191" s="25"/>
      <x:c r="V191" s="25"/>
      <x:c r="W191" s="25"/>
      <x:c r="X191" s="32"/>
      <x:c r="Y191" s="32"/>
      <x:c r="Z191" s="32"/>
      <x:c r="AA191" s="32"/>
      <x:c r="AB191" s="32" t="str">
        <x:f>IF(COUNTA(X191:AA191)=0,"",ROUND((X191*0.35)+(Y191*0.20)+(Z191*0.20)+(AA191*0.25),2))</x:f>
      </x:c>
      <x:c r="AC191" s="25"/>
    </x:row>
    <x:row r="192">
      <x:c r="A192" s="25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30"/>
      <x:c r="O192" s="30"/>
      <x:c r="P192" s="25"/>
      <x:c r="Q192" s="25"/>
      <x:c r="R192" s="25"/>
      <x:c r="S192" s="28"/>
      <x:c r="T192" s="28"/>
      <x:c r="U192" s="25"/>
      <x:c r="V192" s="25"/>
      <x:c r="W192" s="25"/>
      <x:c r="X192" s="32"/>
      <x:c r="Y192" s="32"/>
      <x:c r="Z192" s="32"/>
      <x:c r="AA192" s="32"/>
      <x:c r="AB192" s="32" t="str">
        <x:f>IF(COUNTA(X192:AA192)=0,"",ROUND((X192*0.35)+(Y192*0.20)+(Z192*0.20)+(AA192*0.25),2))</x:f>
      </x:c>
      <x:c r="AC192" s="25"/>
    </x:row>
    <x:row r="193">
      <x:c r="A193" s="25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30"/>
      <x:c r="O193" s="30"/>
      <x:c r="P193" s="25"/>
      <x:c r="Q193" s="25"/>
      <x:c r="R193" s="25"/>
      <x:c r="S193" s="28"/>
      <x:c r="T193" s="28"/>
      <x:c r="U193" s="25"/>
      <x:c r="V193" s="25"/>
      <x:c r="W193" s="25"/>
      <x:c r="X193" s="32"/>
      <x:c r="Y193" s="32"/>
      <x:c r="Z193" s="32"/>
      <x:c r="AA193" s="32"/>
      <x:c r="AB193" s="32" t="str">
        <x:f>IF(COUNTA(X193:AA193)=0,"",ROUND((X193*0.35)+(Y193*0.20)+(Z193*0.20)+(AA193*0.25),2))</x:f>
      </x:c>
      <x:c r="AC193" s="25"/>
    </x:row>
    <x:row r="194">
      <x:c r="A194" s="25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30"/>
      <x:c r="O194" s="30"/>
      <x:c r="P194" s="25"/>
      <x:c r="Q194" s="25"/>
      <x:c r="R194" s="25"/>
      <x:c r="S194" s="28"/>
      <x:c r="T194" s="28"/>
      <x:c r="U194" s="25"/>
      <x:c r="V194" s="25"/>
      <x:c r="W194" s="25"/>
      <x:c r="X194" s="32"/>
      <x:c r="Y194" s="32"/>
      <x:c r="Z194" s="32"/>
      <x:c r="AA194" s="32"/>
      <x:c r="AB194" s="32" t="str">
        <x:f>IF(COUNTA(X194:AA194)=0,"",ROUND((X194*0.35)+(Y194*0.20)+(Z194*0.20)+(AA194*0.25),2))</x:f>
      </x:c>
      <x:c r="AC194" s="25"/>
    </x:row>
    <x:row r="195">
      <x:c r="A195" s="25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30"/>
      <x:c r="O195" s="30"/>
      <x:c r="P195" s="25"/>
      <x:c r="Q195" s="25"/>
      <x:c r="R195" s="25"/>
      <x:c r="S195" s="28"/>
      <x:c r="T195" s="28"/>
      <x:c r="U195" s="25"/>
      <x:c r="V195" s="25"/>
      <x:c r="W195" s="25"/>
      <x:c r="X195" s="32"/>
      <x:c r="Y195" s="32"/>
      <x:c r="Z195" s="32"/>
      <x:c r="AA195" s="32"/>
      <x:c r="AB195" s="32" t="str">
        <x:f>IF(COUNTA(X195:AA195)=0,"",ROUND((X195*0.35)+(Y195*0.20)+(Z195*0.20)+(AA195*0.25),2))</x:f>
      </x:c>
      <x:c r="AC195" s="25"/>
    </x:row>
    <x:row r="196">
      <x:c r="A196" s="25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30"/>
      <x:c r="O196" s="30"/>
      <x:c r="P196" s="25"/>
      <x:c r="Q196" s="25"/>
      <x:c r="R196" s="25"/>
      <x:c r="S196" s="28"/>
      <x:c r="T196" s="28"/>
      <x:c r="U196" s="25"/>
      <x:c r="V196" s="25"/>
      <x:c r="W196" s="25"/>
      <x:c r="X196" s="32"/>
      <x:c r="Y196" s="32"/>
      <x:c r="Z196" s="32"/>
      <x:c r="AA196" s="32"/>
      <x:c r="AB196" s="32" t="str">
        <x:f>IF(COUNTA(X196:AA196)=0,"",ROUND((X196*0.35)+(Y196*0.20)+(Z196*0.20)+(AA196*0.25),2))</x:f>
      </x:c>
      <x:c r="AC196" s="25"/>
    </x:row>
    <x:row r="197">
      <x:c r="A197" s="25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30"/>
      <x:c r="O197" s="30"/>
      <x:c r="P197" s="25"/>
      <x:c r="Q197" s="25"/>
      <x:c r="R197" s="25"/>
      <x:c r="S197" s="28"/>
      <x:c r="T197" s="28"/>
      <x:c r="U197" s="25"/>
      <x:c r="V197" s="25"/>
      <x:c r="W197" s="25"/>
      <x:c r="X197" s="32"/>
      <x:c r="Y197" s="32"/>
      <x:c r="Z197" s="32"/>
      <x:c r="AA197" s="32"/>
      <x:c r="AB197" s="32" t="str">
        <x:f>IF(COUNTA(X197:AA197)=0,"",ROUND((X197*0.35)+(Y197*0.20)+(Z197*0.20)+(AA197*0.25),2))</x:f>
      </x:c>
      <x:c r="AC197" s="25"/>
    </x:row>
    <x:row r="198">
      <x:c r="A198" s="25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30"/>
      <x:c r="O198" s="30"/>
      <x:c r="P198" s="25"/>
      <x:c r="Q198" s="25"/>
      <x:c r="R198" s="25"/>
      <x:c r="S198" s="28"/>
      <x:c r="T198" s="28"/>
      <x:c r="U198" s="25"/>
      <x:c r="V198" s="25"/>
      <x:c r="W198" s="25"/>
      <x:c r="X198" s="32"/>
      <x:c r="Y198" s="32"/>
      <x:c r="Z198" s="32"/>
      <x:c r="AA198" s="32"/>
      <x:c r="AB198" s="32" t="str">
        <x:f>IF(COUNTA(X198:AA198)=0,"",ROUND((X198*0.35)+(Y198*0.20)+(Z198*0.20)+(AA198*0.25),2))</x:f>
      </x:c>
      <x:c r="AC198" s="25"/>
    </x:row>
    <x:row r="199">
      <x:c r="A199" s="25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30"/>
      <x:c r="O199" s="30"/>
      <x:c r="P199" s="25"/>
      <x:c r="Q199" s="25"/>
      <x:c r="R199" s="25"/>
      <x:c r="S199" s="28"/>
      <x:c r="T199" s="28"/>
      <x:c r="U199" s="25"/>
      <x:c r="V199" s="25"/>
      <x:c r="W199" s="25"/>
      <x:c r="X199" s="32"/>
      <x:c r="Y199" s="32"/>
      <x:c r="Z199" s="32"/>
      <x:c r="AA199" s="32"/>
      <x:c r="AB199" s="32" t="str">
        <x:f>IF(COUNTA(X199:AA199)=0,"",ROUND((X199*0.35)+(Y199*0.20)+(Z199*0.20)+(AA199*0.25),2))</x:f>
      </x:c>
      <x:c r="AC199" s="25"/>
    </x:row>
    <x:row r="200">
      <x:c r="A200" s="25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30"/>
      <x:c r="O200" s="30"/>
      <x:c r="P200" s="25"/>
      <x:c r="Q200" s="25"/>
      <x:c r="R200" s="25"/>
      <x:c r="S200" s="28"/>
      <x:c r="T200" s="28"/>
      <x:c r="U200" s="25"/>
      <x:c r="V200" s="25"/>
      <x:c r="W200" s="25"/>
      <x:c r="X200" s="32"/>
      <x:c r="Y200" s="32"/>
      <x:c r="Z200" s="32"/>
      <x:c r="AA200" s="32"/>
      <x:c r="AB200" s="32" t="str">
        <x:f>IF(COUNTA(X200:AA200)=0,"",ROUND((X200*0.35)+(Y200*0.20)+(Z200*0.20)+(AA200*0.25),2))</x:f>
      </x:c>
      <x:c r="AC200" s="25"/>
    </x:row>
    <x:row r="201">
      <x:c r="A201" s="25"/>
      <x:c r="B201" s="28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30"/>
      <x:c r="O201" s="30"/>
      <x:c r="P201" s="25"/>
      <x:c r="Q201" s="25"/>
      <x:c r="R201" s="25"/>
      <x:c r="S201" s="28"/>
      <x:c r="T201" s="28"/>
      <x:c r="U201" s="25"/>
      <x:c r="V201" s="25"/>
      <x:c r="W201" s="25"/>
      <x:c r="X201" s="32"/>
      <x:c r="Y201" s="32"/>
      <x:c r="Z201" s="32"/>
      <x:c r="AA201" s="32"/>
      <x:c r="AB201" s="32" t="str">
        <x:f>IF(COUNTA(X201:AA201)=0,"",ROUND((X201*0.35)+(Y201*0.20)+(Z201*0.20)+(AA201*0.25),2))</x:f>
      </x:c>
      <x:c r="AC201" s="25"/>
    </x:row>
    <x:row r="202">
      <x:c r="A202" s="25"/>
      <x:c r="B202" s="28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30"/>
      <x:c r="O202" s="30"/>
      <x:c r="P202" s="25"/>
      <x:c r="Q202" s="25"/>
      <x:c r="R202" s="25"/>
      <x:c r="S202" s="28"/>
      <x:c r="T202" s="28"/>
      <x:c r="U202" s="25"/>
      <x:c r="V202" s="25"/>
      <x:c r="W202" s="25"/>
      <x:c r="X202" s="32"/>
      <x:c r="Y202" s="32"/>
      <x:c r="Z202" s="32"/>
      <x:c r="AA202" s="32"/>
      <x:c r="AB202" s="32" t="str">
        <x:f>IF(COUNTA(X202:AA202)=0,"",ROUND((X202*0.35)+(Y202*0.20)+(Z202*0.20)+(AA202*0.25),2))</x:f>
      </x:c>
      <x:c r="AC202" s="25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AC1"/>
  </x:mergeCells>
  <x:conditionalFormatting sqref="AB3:AB20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F3:F202">
    <x:cfRule type="expression" dxfId="0" priority="2">
      <x:formula>F3="A"</x:formula>
    </x:cfRule>
    <x:cfRule type="expression" dxfId="1" priority="3">
      <x:formula>F3="Reject"</x:formula>
    </x:cfRule>
  </x:conditionalFormatting>
  <x:conditionalFormatting sqref="G3:G202">
    <x:cfRule type="expression" dxfId="2" priority="4">
      <x:formula>G3="Rejected"</x:formula>
    </x:cfRule>
    <x:cfRule type="expression" dxfId="3" priority="5">
      <x:formula>G3="Offer"</x:formula>
    </x:cfRule>
  </x:conditionalFormatting>
  <x:conditionalFormatting sqref="S3:S202">
    <x:cfRule type="expression" dxfId="4" priority="6">
      <x:formula>AND(S3&lt;&gt;"",S3&lt;TODAY(),G3&lt;&gt;"Rejected",G3&lt;&gt;"Archived",G3&lt;&gt;"Offer")</x:formula>
    </x:cfRule>
  </x:conditionalFormatting>
  <x:dataValidations count="6">
    <x:dataValidation type="list" sqref="E3:E202">
      <x:formula1>"Real-Time 3D / Unity,Unity WebGL / Interactive 3D,Technical Visualization / Digital Twin,Unity Technical Artist,XR / AR / VR,Tools / Pipeline,Python Automation / AI Tools,Full-stack Fallback,3D Artist Fallback"</x:formula1>
    </x:dataValidation>
    <x:dataValidation type="list" sqref="F3:F202">
      <x:formula1>"A,B,C,Watchlist,Reject"</x:formula1>
    </x:dataValidation>
    <x:dataValidation type="list" sqref="G3:G202">
      <x:formula1>"Not Started,Applied,Follow-up 1,Follow-up 2,Screening,Interview,Technical Test,Offer,Rejected,Archived"</x:formula1>
    </x:dataValidation>
    <x:dataValidation type="list" sqref="J3:J202">
      <x:formula1>"Worldwide,LATAM,US-only,EU-only,Hybrid,On-site,Unknown"</x:formula1>
    </x:dataValidation>
    <x:dataValidation type="list" sqref="K3:K202">
      <x:formula1>"High,Medium,Low,Unknown"</x:formula1>
    </x:dataValidation>
    <x:dataValidation type="whole" operator="between" sqref="X3:AA202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23e5750580945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0" hidden="0" customWidth="1"/>
    <x:col min="4" max="4" width="12" hidden="0" customWidth="1"/>
    <x:col min="5" max="5" width="28" hidden="0" customWidth="1"/>
    <x:col min="6" max="6" width="30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  <x:col min="12" max="12" width="14" hidden="0" customWidth="1"/>
    <x:col min="13" max="13" width="10" hidden="0" customWidth="1"/>
    <x:col min="14" max="14" width="12" hidden="0" customWidth="1"/>
    <x:col min="15" max="15" width="14" hidden="0" customWidth="1"/>
    <x:col min="16" max="16" width="14" hidden="0" customWidth="1"/>
    <x:col min="17" max="17" width="12" hidden="0" customWidth="1"/>
    <x:col min="18" max="18" width="16" hidden="0" customWidth="1"/>
    <x:col min="19" max="19" width="14" hidden="0" customWidth="1"/>
    <x:col min="20" max="20" width="26" hidden="0" customWidth="1"/>
    <x:col min="21" max="21" width="40" hidden="0" customWidth="1"/>
  </x:cols>
  <x:sheetData>
    <x:row r="1" ht="28" customHeight="1">
      <x:c r="A1" s="20" t="str">
        <x:v>Company Target List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Company</x:v>
      </x:c>
      <x:c r="B2" s="24" t="str">
        <x:v>Country/Region</x:v>
      </x:c>
      <x:c r="C2" s="24" t="str">
        <x:v>Category</x:v>
      </x:c>
      <x:c r="D2" s="24" t="str">
        <x:v>Priority</x:v>
      </x:c>
      <x:c r="E2" s="24" t="str">
        <x:v>Website</x:v>
      </x:c>
      <x:c r="F2" s="24" t="str">
        <x:v>Careers URL</x:v>
      </x:c>
      <x:c r="G2" s="24" t="str">
        <x:v>LinkedIn URL</x:v>
      </x:c>
      <x:c r="H2" s="24" t="str">
        <x:v>Remote Likelihood</x:v>
      </x:c>
      <x:c r="I2" s="24" t="str">
        <x:v>Contractor Likelihood</x:v>
      </x:c>
      <x:c r="J2" s="24" t="str">
        <x:v>Language</x:v>
      </x:c>
      <x:c r="K2" s="24" t="str">
        <x:v>Work Authorization Notes</x:v>
      </x:c>
      <x:c r="L2" s="24" t="str">
        <x:v>Salary Tier</x:v>
      </x:c>
      <x:c r="M2" s="24" t="str">
        <x:v>Fit</x:v>
      </x:c>
      <x:c r="N2" s="24" t="str">
        <x:v>Probability</x:v>
      </x:c>
      <x:c r="O2" s="24" t="str">
        <x:v>Compensation</x:v>
      </x:c>
      <x:c r="P2" s="24" t="str">
        <x:v>Portfolio Fit</x:v>
      </x:c>
      <x:c r="Q2" s="24" t="str">
        <x:v>Total Score</x:v>
      </x:c>
      <x:c r="R2" s="24" t="str">
        <x:v>Status</x:v>
      </x:c>
      <x:c r="S2" s="24" t="str">
        <x:v>Last Checked</x:v>
      </x:c>
      <x:c r="T2" s="24" t="str">
        <x:v>Next Action</x:v>
      </x:c>
      <x:c r="U2" s="24" t="str">
        <x:v>Notes</x:v>
      </x:c>
      <x:c r="V2" s="21"/>
      <x:c r="W2" s="21"/>
      <x:c r="X2" s="21"/>
      <x:c r="Y2" s="21"/>
      <x:c r="Z2" s="21"/>
    </x:row>
    <x:row r="3">
      <x:c r="A3" s="25" t="str">
        <x:v>Treeview Studio</x:v>
      </x:c>
      <x:c r="B3" s="25" t="str">
        <x:v>US / LATAM</x:v>
      </x:c>
      <x:c r="C3" s="25" t="str">
        <x:v>Unity / XR / Technical Visualization</x:v>
      </x:c>
      <x:c r="D3" s="25" t="str">
        <x:v>A</x:v>
      </x:c>
      <x:c r="E3" s="25" t="str">
        <x:v>https://treeview.studio/</x:v>
      </x:c>
      <x:c r="F3" s="25" t="str">
        <x:v>https://treeview.studio/contact</x:v>
      </x:c>
      <x:c r="G3" s="25" t="str">
        <x:v>https://www.linkedin.com/company/treeview-studio/</x:v>
      </x:c>
      <x:c r="H3" s="25" t="str">
        <x:v>LATAM</x:v>
      </x:c>
      <x:c r="I3" s="25" t="str">
        <x:v>Medium</x:v>
      </x:c>
      <x:c r="J3" s="25" t="str">
        <x:v>English / Spanish</x:v>
      </x:c>
      <x:c r="K3" s="25" t="str">
        <x:v>Remote contractor plausible; verify opening</x:v>
      </x:c>
      <x:c r="L3" s="25" t="str">
        <x:v>Medium</x:v>
      </x:c>
      <x:c r="M3" s="25" t="n">
        <x:v>5</x:v>
      </x:c>
      <x:c r="N3" s="25" t="n">
        <x:v>3</x:v>
      </x:c>
      <x:c r="O3" s="25" t="n">
        <x:v>4</x:v>
      </x:c>
      <x:c r="P3" s="25" t="n">
        <x:v>5</x:v>
      </x:c>
      <x:c r="Q3" s="25" t="n">
        <x:f>IF(COUNTA(M3:P3)=0,"",ROUND((M3*0.35)+(N3*0.20)+(O3*0.20)+(P3*0.25),2))</x:f>
        <x:v>4.4</x:v>
      </x:c>
      <x:c r="R3" s="25" t="str">
        <x:v>Research</x:v>
      </x:c>
      <x:c r="S3" s="28" t="n">
        <x:v>46184.85427577546</x:v>
      </x:c>
      <x:c r="T3" s="25" t="str">
        <x:v>Check careers/contact</x:v>
      </x:c>
      <x:c r="U3" s="25" t="str">
        <x:v>Strong TwinSight fit.</x:v>
      </x:c>
      <x:c r="V3" s="21"/>
      <x:c r="W3" s="21"/>
      <x:c r="X3" s="21"/>
      <x:c r="Y3" s="21"/>
      <x:c r="Z3" s="21"/>
    </x:row>
    <x:row r="4">
      <x:c r="A4" s="25" t="str">
        <x:v>Unity Technologies</x:v>
      </x:c>
      <x:c r="B4" s="25" t="str">
        <x:v>Global</x:v>
      </x:c>
      <x:c r="C4" s="25" t="str">
        <x:v>Unity / Engine</x:v>
      </x:c>
      <x:c r="D4" s="25" t="str">
        <x:v>A</x:v>
      </x:c>
      <x:c r="E4" s="25" t="str">
        <x:v>https://unity.com/</x:v>
      </x:c>
      <x:c r="F4" s="25" t="str">
        <x:v>https://unity.com/careers</x:v>
      </x:c>
      <x:c r="G4" s="25" t="str">
        <x:v>https://www.linkedin.com/company/unity-technologies/</x:v>
      </x:c>
      <x:c r="H4" s="25" t="str">
        <x:v>Hybrid</x:v>
      </x:c>
      <x:c r="I4" s="25" t="str">
        <x:v>Medium</x:v>
      </x:c>
      <x:c r="J4" s="25" t="str">
        <x:v>English</x:v>
      </x:c>
      <x:c r="K4" s="25" t="str">
        <x:v>Usually local/EOR; verify per role</x:v>
      </x:c>
      <x:c r="L4" s="25" t="str">
        <x:v>High</x:v>
      </x:c>
      <x:c r="M4" s="25" t="n">
        <x:v>5</x:v>
      </x:c>
      <x:c r="N4" s="25" t="n">
        <x:v>2</x:v>
      </x:c>
      <x:c r="O4" s="25" t="n">
        <x:v>5</x:v>
      </x:c>
      <x:c r="P4" s="25" t="n">
        <x:v>5</x:v>
      </x:c>
      <x:c r="Q4" s="25" t="n">
        <x:f>IF(COUNTA(M4:P4)=0,"",ROUND((M4*0.35)+(N4*0.20)+(O4*0.20)+(P4*0.25),2))</x:f>
        <x:v>4.4</x:v>
      </x:c>
      <x:c r="R4" s="25" t="str">
        <x:v>Watchlist</x:v>
      </x:c>
      <x:c r="S4" s="28" t="n">
        <x:v>46184.85427577546</x:v>
      </x:c>
      <x:c r="T4" s="25" t="str">
        <x:v>Monitor openings</x:v>
      </x:c>
      <x:c r="U4" s="25" t="str">
        <x:v>High fit but competitive.</x:v>
      </x:c>
      <x:c r="V4" s="21"/>
      <x:c r="W4" s="21"/>
      <x:c r="X4" s="21"/>
      <x:c r="Y4" s="21"/>
      <x:c r="Z4" s="21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 t="str">
        <x:f>IF(COUNTA(M5:P5)=0,"",ROUND((M5*0.35)+(N5*0.20)+(O5*0.20)+(P5*0.25),2))</x:f>
      </x:c>
      <x:c r="R5" s="25"/>
      <x:c r="S5" s="28"/>
      <x:c r="T5" s="25"/>
      <x:c r="U5" s="25"/>
      <x:c r="V5" s="21"/>
      <x:c r="W5" s="21"/>
      <x:c r="X5" s="21"/>
      <x:c r="Y5" s="21"/>
      <x:c r="Z5" s="21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 t="str">
        <x:f>IF(COUNTA(M6:P6)=0,"",ROUND((M6*0.35)+(N6*0.20)+(O6*0.20)+(P6*0.25),2))</x:f>
      </x:c>
      <x:c r="R6" s="25"/>
      <x:c r="S6" s="28"/>
      <x:c r="T6" s="25"/>
      <x:c r="U6" s="25"/>
      <x:c r="V6" s="21"/>
      <x:c r="W6" s="21"/>
      <x:c r="X6" s="21"/>
      <x:c r="Y6" s="21"/>
      <x:c r="Z6" s="21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 t="str">
        <x:f>IF(COUNTA(M7:P7)=0,"",ROUND((M7*0.35)+(N7*0.20)+(O7*0.20)+(P7*0.25),2))</x:f>
      </x:c>
      <x:c r="R7" s="25"/>
      <x:c r="S7" s="28"/>
      <x:c r="T7" s="25"/>
      <x:c r="U7" s="25"/>
      <x:c r="V7" s="21"/>
      <x:c r="W7" s="21"/>
      <x:c r="X7" s="21"/>
      <x:c r="Y7" s="21"/>
      <x:c r="Z7" s="21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 t="str">
        <x:f>IF(COUNTA(M8:P8)=0,"",ROUND((M8*0.35)+(N8*0.20)+(O8*0.20)+(P8*0.25),2))</x:f>
      </x:c>
      <x:c r="R8" s="25"/>
      <x:c r="S8" s="28"/>
      <x:c r="T8" s="25"/>
      <x:c r="U8" s="25"/>
      <x:c r="V8" s="21"/>
      <x:c r="W8" s="21"/>
      <x:c r="X8" s="21"/>
      <x:c r="Y8" s="21"/>
      <x:c r="Z8" s="21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 t="str">
        <x:f>IF(COUNTA(M9:P9)=0,"",ROUND((M9*0.35)+(N9*0.20)+(O9*0.20)+(P9*0.25),2))</x:f>
      </x:c>
      <x:c r="R9" s="25"/>
      <x:c r="S9" s="28"/>
      <x:c r="T9" s="25"/>
      <x:c r="U9" s="25"/>
      <x:c r="V9" s="21"/>
      <x:c r="W9" s="21"/>
      <x:c r="X9" s="21"/>
      <x:c r="Y9" s="21"/>
      <x:c r="Z9" s="21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 t="str">
        <x:f>IF(COUNTA(M10:P10)=0,"",ROUND((M10*0.35)+(N10*0.20)+(O10*0.20)+(P10*0.25),2))</x:f>
      </x:c>
      <x:c r="R10" s="25"/>
      <x:c r="S10" s="28"/>
      <x:c r="T10" s="25"/>
      <x:c r="U10" s="25"/>
      <x:c r="V10" s="21"/>
      <x:c r="W10" s="21"/>
      <x:c r="X10" s="21"/>
      <x:c r="Y10" s="21"/>
      <x:c r="Z10" s="21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 t="str">
        <x:f>IF(COUNTA(M11:P11)=0,"",ROUND((M11*0.35)+(N11*0.20)+(O11*0.20)+(P11*0.25),2))</x:f>
      </x:c>
      <x:c r="R11" s="25"/>
      <x:c r="S11" s="28"/>
      <x:c r="T11" s="25"/>
      <x:c r="U11" s="25"/>
      <x:c r="V11" s="21"/>
      <x:c r="W11" s="21"/>
      <x:c r="X11" s="21"/>
      <x:c r="Y11" s="21"/>
      <x:c r="Z11" s="21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 t="str">
        <x:f>IF(COUNTA(M12:P12)=0,"",ROUND((M12*0.35)+(N12*0.20)+(O12*0.20)+(P12*0.25),2))</x:f>
      </x:c>
      <x:c r="R12" s="25"/>
      <x:c r="S12" s="28"/>
      <x:c r="T12" s="25"/>
      <x:c r="U12" s="25"/>
      <x:c r="V12" s="21"/>
      <x:c r="W12" s="21"/>
      <x:c r="X12" s="21"/>
      <x:c r="Y12" s="21"/>
      <x:c r="Z12" s="21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 t="str">
        <x:f>IF(COUNTA(M13:P13)=0,"",ROUND((M13*0.35)+(N13*0.20)+(O13*0.20)+(P13*0.25),2))</x:f>
      </x:c>
      <x:c r="R13" s="25"/>
      <x:c r="S13" s="28"/>
      <x:c r="T13" s="25"/>
      <x:c r="U13" s="25"/>
      <x:c r="V13" s="21"/>
      <x:c r="W13" s="21"/>
      <x:c r="X13" s="21"/>
      <x:c r="Y13" s="21"/>
      <x:c r="Z13" s="21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 t="str">
        <x:f>IF(COUNTA(M14:P14)=0,"",ROUND((M14*0.35)+(N14*0.20)+(O14*0.20)+(P14*0.25),2))</x:f>
      </x:c>
      <x:c r="R14" s="25"/>
      <x:c r="S14" s="28"/>
      <x:c r="T14" s="25"/>
      <x:c r="U14" s="25"/>
      <x:c r="V14" s="21"/>
      <x:c r="W14" s="21"/>
      <x:c r="X14" s="21"/>
      <x:c r="Y14" s="21"/>
      <x:c r="Z14" s="21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 t="str">
        <x:f>IF(COUNTA(M15:P15)=0,"",ROUND((M15*0.35)+(N15*0.20)+(O15*0.20)+(P15*0.25),2))</x:f>
      </x:c>
      <x:c r="R15" s="25"/>
      <x:c r="S15" s="28"/>
      <x:c r="T15" s="25"/>
      <x:c r="U15" s="25"/>
      <x:c r="V15" s="21"/>
      <x:c r="W15" s="21"/>
      <x:c r="X15" s="21"/>
      <x:c r="Y15" s="21"/>
      <x:c r="Z15" s="21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 t="str">
        <x:f>IF(COUNTA(M16:P16)=0,"",ROUND((M16*0.35)+(N16*0.20)+(O16*0.20)+(P16*0.25),2))</x:f>
      </x:c>
      <x:c r="R16" s="25"/>
      <x:c r="S16" s="28"/>
      <x:c r="T16" s="25"/>
      <x:c r="U16" s="25"/>
      <x:c r="V16" s="21"/>
      <x:c r="W16" s="21"/>
      <x:c r="X16" s="21"/>
      <x:c r="Y16" s="21"/>
      <x:c r="Z16" s="21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 t="str">
        <x:f>IF(COUNTA(M17:P17)=0,"",ROUND((M17*0.35)+(N17*0.20)+(O17*0.20)+(P17*0.25),2))</x:f>
      </x:c>
      <x:c r="R17" s="25"/>
      <x:c r="S17" s="28"/>
      <x:c r="T17" s="25"/>
      <x:c r="U17" s="25"/>
      <x:c r="V17" s="21"/>
      <x:c r="W17" s="21"/>
      <x:c r="X17" s="21"/>
      <x:c r="Y17" s="21"/>
      <x:c r="Z17" s="21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 t="str">
        <x:f>IF(COUNTA(M18:P18)=0,"",ROUND((M18*0.35)+(N18*0.20)+(O18*0.20)+(P18*0.25),2))</x:f>
      </x:c>
      <x:c r="R18" s="25"/>
      <x:c r="S18" s="28"/>
      <x:c r="T18" s="25"/>
      <x:c r="U18" s="25"/>
      <x:c r="V18" s="21"/>
      <x:c r="W18" s="21"/>
      <x:c r="X18" s="21"/>
      <x:c r="Y18" s="21"/>
      <x:c r="Z18" s="21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 t="str">
        <x:f>IF(COUNTA(M19:P19)=0,"",ROUND((M19*0.35)+(N19*0.20)+(O19*0.20)+(P19*0.25),2))</x:f>
      </x:c>
      <x:c r="R19" s="25"/>
      <x:c r="S19" s="28"/>
      <x:c r="T19" s="25"/>
      <x:c r="U19" s="25"/>
      <x:c r="V19" s="21"/>
      <x:c r="W19" s="21"/>
      <x:c r="X19" s="21"/>
      <x:c r="Y19" s="21"/>
      <x:c r="Z19" s="21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 t="str">
        <x:f>IF(COUNTA(M20:P20)=0,"",ROUND((M20*0.35)+(N20*0.20)+(O20*0.20)+(P20*0.25),2))</x:f>
      </x:c>
      <x:c r="R20" s="25"/>
      <x:c r="S20" s="28"/>
      <x:c r="T20" s="25"/>
      <x:c r="U20" s="25"/>
      <x:c r="V20" s="21"/>
      <x:c r="W20" s="21"/>
      <x:c r="X20" s="21"/>
      <x:c r="Y20" s="21"/>
      <x:c r="Z20" s="21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 t="str">
        <x:f>IF(COUNTA(M21:P21)=0,"",ROUND((M21*0.35)+(N21*0.20)+(O21*0.20)+(P21*0.25),2))</x:f>
      </x:c>
      <x:c r="R21" s="25"/>
      <x:c r="S21" s="28"/>
      <x:c r="T21" s="25"/>
      <x:c r="U21" s="25"/>
      <x:c r="V21" s="21"/>
      <x:c r="W21" s="21"/>
      <x:c r="X21" s="21"/>
      <x:c r="Y21" s="21"/>
      <x:c r="Z21" s="21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 t="str">
        <x:f>IF(COUNTA(M22:P22)=0,"",ROUND((M22*0.35)+(N22*0.20)+(O22*0.20)+(P22*0.25),2))</x:f>
      </x:c>
      <x:c r="R22" s="25"/>
      <x:c r="S22" s="28"/>
      <x:c r="T22" s="25"/>
      <x:c r="U22" s="25"/>
      <x:c r="V22" s="21"/>
      <x:c r="W22" s="21"/>
      <x:c r="X22" s="21"/>
      <x:c r="Y22" s="21"/>
      <x:c r="Z22" s="21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 t="str">
        <x:f>IF(COUNTA(M23:P23)=0,"",ROUND((M23*0.35)+(N23*0.20)+(O23*0.20)+(P23*0.25),2))</x:f>
      </x:c>
      <x:c r="R23" s="25"/>
      <x:c r="S23" s="28"/>
      <x:c r="T23" s="25"/>
      <x:c r="U23" s="25"/>
      <x:c r="V23" s="21"/>
      <x:c r="W23" s="21"/>
      <x:c r="X23" s="21"/>
      <x:c r="Y23" s="21"/>
      <x:c r="Z23" s="21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 t="str">
        <x:f>IF(COUNTA(M24:P24)=0,"",ROUND((M24*0.35)+(N24*0.20)+(O24*0.20)+(P24*0.25),2))</x:f>
      </x:c>
      <x:c r="R24" s="25"/>
      <x:c r="S24" s="28"/>
      <x:c r="T24" s="25"/>
      <x:c r="U24" s="25"/>
      <x:c r="V24" s="21"/>
      <x:c r="W24" s="21"/>
      <x:c r="X24" s="21"/>
      <x:c r="Y24" s="21"/>
      <x:c r="Z24" s="21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 t="str">
        <x:f>IF(COUNTA(M25:P25)=0,"",ROUND((M25*0.35)+(N25*0.20)+(O25*0.20)+(P25*0.25),2))</x:f>
      </x:c>
      <x:c r="R25" s="25"/>
      <x:c r="S25" s="28"/>
      <x:c r="T25" s="25"/>
      <x:c r="U25" s="25"/>
      <x:c r="V25" s="21"/>
      <x:c r="W25" s="21"/>
      <x:c r="X25" s="21"/>
      <x:c r="Y25" s="21"/>
      <x:c r="Z25" s="21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 t="str">
        <x:f>IF(COUNTA(M26:P26)=0,"",ROUND((M26*0.35)+(N26*0.20)+(O26*0.20)+(P26*0.25),2))</x:f>
      </x:c>
      <x:c r="R26" s="25"/>
      <x:c r="S26" s="28"/>
      <x:c r="T26" s="25"/>
      <x:c r="U26" s="25"/>
      <x:c r="V26" s="21"/>
      <x:c r="W26" s="21"/>
      <x:c r="X26" s="21"/>
      <x:c r="Y26" s="21"/>
      <x:c r="Z26" s="21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 t="str">
        <x:f>IF(COUNTA(M27:P27)=0,"",ROUND((M27*0.35)+(N27*0.20)+(O27*0.20)+(P27*0.25),2))</x:f>
      </x:c>
      <x:c r="R27" s="25"/>
      <x:c r="S27" s="28"/>
      <x:c r="T27" s="25"/>
      <x:c r="U27" s="25"/>
      <x:c r="V27" s="21"/>
      <x:c r="W27" s="21"/>
      <x:c r="X27" s="21"/>
      <x:c r="Y27" s="21"/>
      <x:c r="Z27" s="21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 t="str">
        <x:f>IF(COUNTA(M28:P28)=0,"",ROUND((M28*0.35)+(N28*0.20)+(O28*0.20)+(P28*0.25),2))</x:f>
      </x:c>
      <x:c r="R28" s="25"/>
      <x:c r="S28" s="28"/>
      <x:c r="T28" s="25"/>
      <x:c r="U28" s="25"/>
      <x:c r="V28" s="21"/>
      <x:c r="W28" s="21"/>
      <x:c r="X28" s="21"/>
      <x:c r="Y28" s="21"/>
      <x:c r="Z28" s="21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 t="str">
        <x:f>IF(COUNTA(M29:P29)=0,"",ROUND((M29*0.35)+(N29*0.20)+(O29*0.20)+(P29*0.25),2))</x:f>
      </x:c>
      <x:c r="R29" s="25"/>
      <x:c r="S29" s="28"/>
      <x:c r="T29" s="25"/>
      <x:c r="U29" s="25"/>
      <x:c r="V29" s="21"/>
      <x:c r="W29" s="21"/>
      <x:c r="X29" s="21"/>
      <x:c r="Y29" s="21"/>
      <x:c r="Z29" s="21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 t="str">
        <x:f>IF(COUNTA(M30:P30)=0,"",ROUND((M30*0.35)+(N30*0.20)+(O30*0.20)+(P30*0.25),2))</x:f>
      </x:c>
      <x:c r="R30" s="25"/>
      <x:c r="S30" s="28"/>
      <x:c r="T30" s="25"/>
      <x:c r="U30" s="25"/>
      <x:c r="V30" s="21"/>
      <x:c r="W30" s="21"/>
      <x:c r="X30" s="21"/>
      <x:c r="Y30" s="21"/>
      <x:c r="Z30" s="21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 t="str">
        <x:f>IF(COUNTA(M31:P31)=0,"",ROUND((M31*0.35)+(N31*0.20)+(O31*0.20)+(P31*0.25),2))</x:f>
      </x:c>
      <x:c r="R31" s="25"/>
      <x:c r="S31" s="28"/>
      <x:c r="T31" s="25"/>
      <x:c r="U31" s="25"/>
      <x:c r="V31" s="21"/>
      <x:c r="W31" s="21"/>
      <x:c r="X31" s="21"/>
      <x:c r="Y31" s="21"/>
      <x:c r="Z31" s="21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 t="str">
        <x:f>IF(COUNTA(M32:P32)=0,"",ROUND((M32*0.35)+(N32*0.20)+(O32*0.20)+(P32*0.25),2))</x:f>
      </x:c>
      <x:c r="R32" s="25"/>
      <x:c r="S32" s="28"/>
      <x:c r="T32" s="25"/>
      <x:c r="U32" s="25"/>
      <x:c r="V32" s="21"/>
      <x:c r="W32" s="21"/>
      <x:c r="X32" s="21"/>
      <x:c r="Y32" s="21"/>
      <x:c r="Z32" s="21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 t="str">
        <x:f>IF(COUNTA(M33:P33)=0,"",ROUND((M33*0.35)+(N33*0.20)+(O33*0.20)+(P33*0.25),2))</x:f>
      </x:c>
      <x:c r="R33" s="25"/>
      <x:c r="S33" s="28"/>
      <x:c r="T33" s="25"/>
      <x:c r="U33" s="25"/>
      <x:c r="V33" s="21"/>
      <x:c r="W33" s="21"/>
      <x:c r="X33" s="21"/>
      <x:c r="Y33" s="21"/>
      <x:c r="Z33" s="21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 t="str">
        <x:f>IF(COUNTA(M34:P34)=0,"",ROUND((M34*0.35)+(N34*0.20)+(O34*0.20)+(P34*0.25),2))</x:f>
      </x:c>
      <x:c r="R34" s="25"/>
      <x:c r="S34" s="28"/>
      <x:c r="T34" s="25"/>
      <x:c r="U34" s="25"/>
      <x:c r="V34" s="21"/>
      <x:c r="W34" s="21"/>
      <x:c r="X34" s="21"/>
      <x:c r="Y34" s="21"/>
      <x:c r="Z34" s="21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 t="str">
        <x:f>IF(COUNTA(M35:P35)=0,"",ROUND((M35*0.35)+(N35*0.20)+(O35*0.20)+(P35*0.25),2))</x:f>
      </x:c>
      <x:c r="R35" s="25"/>
      <x:c r="S35" s="28"/>
      <x:c r="T35" s="25"/>
      <x:c r="U35" s="25"/>
      <x:c r="V35" s="21"/>
      <x:c r="W35" s="21"/>
      <x:c r="X35" s="21"/>
      <x:c r="Y35" s="21"/>
      <x:c r="Z35" s="21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 t="str">
        <x:f>IF(COUNTA(M36:P36)=0,"",ROUND((M36*0.35)+(N36*0.20)+(O36*0.20)+(P36*0.25),2))</x:f>
      </x:c>
      <x:c r="R36" s="25"/>
      <x:c r="S36" s="28"/>
      <x:c r="T36" s="25"/>
      <x:c r="U36" s="25"/>
      <x:c r="V36" s="21"/>
      <x:c r="W36" s="21"/>
      <x:c r="X36" s="21"/>
      <x:c r="Y36" s="21"/>
      <x:c r="Z36" s="21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 t="str">
        <x:f>IF(COUNTA(M37:P37)=0,"",ROUND((M37*0.35)+(N37*0.20)+(O37*0.20)+(P37*0.25),2))</x:f>
      </x:c>
      <x:c r="R37" s="25"/>
      <x:c r="S37" s="28"/>
      <x:c r="T37" s="25"/>
      <x:c r="U37" s="25"/>
      <x:c r="V37" s="21"/>
      <x:c r="W37" s="21"/>
      <x:c r="X37" s="21"/>
      <x:c r="Y37" s="21"/>
      <x:c r="Z37" s="21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 t="str">
        <x:f>IF(COUNTA(M38:P38)=0,"",ROUND((M38*0.35)+(N38*0.20)+(O38*0.20)+(P38*0.25),2))</x:f>
      </x:c>
      <x:c r="R38" s="25"/>
      <x:c r="S38" s="28"/>
      <x:c r="T38" s="25"/>
      <x:c r="U38" s="25"/>
      <x:c r="V38" s="21"/>
      <x:c r="W38" s="21"/>
      <x:c r="X38" s="21"/>
      <x:c r="Y38" s="21"/>
      <x:c r="Z38" s="21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 t="str">
        <x:f>IF(COUNTA(M39:P39)=0,"",ROUND((M39*0.35)+(N39*0.20)+(O39*0.20)+(P39*0.25),2))</x:f>
      </x:c>
      <x:c r="R39" s="25"/>
      <x:c r="S39" s="28"/>
      <x:c r="T39" s="25"/>
      <x:c r="U39" s="25"/>
      <x:c r="V39" s="21"/>
      <x:c r="W39" s="21"/>
      <x:c r="X39" s="21"/>
      <x:c r="Y39" s="21"/>
      <x:c r="Z39" s="21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 t="str">
        <x:f>IF(COUNTA(M40:P40)=0,"",ROUND((M40*0.35)+(N40*0.20)+(O40*0.20)+(P40*0.25),2))</x:f>
      </x:c>
      <x:c r="R40" s="25"/>
      <x:c r="S40" s="28"/>
      <x:c r="T40" s="25"/>
      <x:c r="U40" s="25"/>
      <x:c r="V40" s="21"/>
      <x:c r="W40" s="21"/>
      <x:c r="X40" s="21"/>
      <x:c r="Y40" s="21"/>
      <x:c r="Z40" s="21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 t="str">
        <x:f>IF(COUNTA(M41:P41)=0,"",ROUND((M41*0.35)+(N41*0.20)+(O41*0.20)+(P41*0.25),2))</x:f>
      </x:c>
      <x:c r="R41" s="25"/>
      <x:c r="S41" s="28"/>
      <x:c r="T41" s="25"/>
      <x:c r="U41" s="25"/>
      <x:c r="V41" s="21"/>
      <x:c r="W41" s="21"/>
      <x:c r="X41" s="21"/>
      <x:c r="Y41" s="21"/>
      <x:c r="Z41" s="21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 t="str">
        <x:f>IF(COUNTA(M42:P42)=0,"",ROUND((M42*0.35)+(N42*0.20)+(O42*0.20)+(P42*0.25),2))</x:f>
      </x:c>
      <x:c r="R42" s="25"/>
      <x:c r="S42" s="28"/>
      <x:c r="T42" s="25"/>
      <x:c r="U42" s="25"/>
      <x:c r="V42" s="21"/>
      <x:c r="W42" s="21"/>
      <x:c r="X42" s="21"/>
      <x:c r="Y42" s="21"/>
      <x:c r="Z42" s="21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 t="str">
        <x:f>IF(COUNTA(M43:P43)=0,"",ROUND((M43*0.35)+(N43*0.20)+(O43*0.20)+(P43*0.25),2))</x:f>
      </x:c>
      <x:c r="R43" s="25"/>
      <x:c r="S43" s="28"/>
      <x:c r="T43" s="25"/>
      <x:c r="U43" s="25"/>
      <x:c r="V43" s="21"/>
      <x:c r="W43" s="21"/>
      <x:c r="X43" s="21"/>
      <x:c r="Y43" s="21"/>
      <x:c r="Z43" s="21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 t="str">
        <x:f>IF(COUNTA(M44:P44)=0,"",ROUND((M44*0.35)+(N44*0.20)+(O44*0.20)+(P44*0.25),2))</x:f>
      </x:c>
      <x:c r="R44" s="25"/>
      <x:c r="S44" s="28"/>
      <x:c r="T44" s="25"/>
      <x:c r="U44" s="25"/>
      <x:c r="V44" s="21"/>
      <x:c r="W44" s="21"/>
      <x:c r="X44" s="21"/>
      <x:c r="Y44" s="21"/>
      <x:c r="Z44" s="21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 t="str">
        <x:f>IF(COUNTA(M45:P45)=0,"",ROUND((M45*0.35)+(N45*0.20)+(O45*0.20)+(P45*0.25),2))</x:f>
      </x:c>
      <x:c r="R45" s="25"/>
      <x:c r="S45" s="28"/>
      <x:c r="T45" s="25"/>
      <x:c r="U45" s="25"/>
      <x:c r="V45" s="21"/>
      <x:c r="W45" s="21"/>
      <x:c r="X45" s="21"/>
      <x:c r="Y45" s="21"/>
      <x:c r="Z45" s="21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 t="str">
        <x:f>IF(COUNTA(M46:P46)=0,"",ROUND((M46*0.35)+(N46*0.20)+(O46*0.20)+(P46*0.25),2))</x:f>
      </x:c>
      <x:c r="R46" s="25"/>
      <x:c r="S46" s="28"/>
      <x:c r="T46" s="25"/>
      <x:c r="U46" s="25"/>
      <x:c r="V46" s="21"/>
      <x:c r="W46" s="21"/>
      <x:c r="X46" s="21"/>
      <x:c r="Y46" s="21"/>
      <x:c r="Z46" s="21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 t="str">
        <x:f>IF(COUNTA(M47:P47)=0,"",ROUND((M47*0.35)+(N47*0.20)+(O47*0.20)+(P47*0.25),2))</x:f>
      </x:c>
      <x:c r="R47" s="25"/>
      <x:c r="S47" s="28"/>
      <x:c r="T47" s="25"/>
      <x:c r="U47" s="25"/>
      <x:c r="V47" s="21"/>
      <x:c r="W47" s="21"/>
      <x:c r="X47" s="21"/>
      <x:c r="Y47" s="21"/>
      <x:c r="Z47" s="21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 t="str">
        <x:f>IF(COUNTA(M48:P48)=0,"",ROUND((M48*0.35)+(N48*0.20)+(O48*0.20)+(P48*0.25),2))</x:f>
      </x:c>
      <x:c r="R48" s="25"/>
      <x:c r="S48" s="28"/>
      <x:c r="T48" s="25"/>
      <x:c r="U48" s="25"/>
      <x:c r="V48" s="21"/>
      <x:c r="W48" s="21"/>
      <x:c r="X48" s="21"/>
      <x:c r="Y48" s="21"/>
      <x:c r="Z48" s="21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 t="str">
        <x:f>IF(COUNTA(M49:P49)=0,"",ROUND((M49*0.35)+(N49*0.20)+(O49*0.20)+(P49*0.25),2))</x:f>
      </x:c>
      <x:c r="R49" s="25"/>
      <x:c r="S49" s="28"/>
      <x:c r="T49" s="25"/>
      <x:c r="U49" s="25"/>
      <x:c r="V49" s="21"/>
      <x:c r="W49" s="21"/>
      <x:c r="X49" s="21"/>
      <x:c r="Y49" s="21"/>
      <x:c r="Z49" s="21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 t="str">
        <x:f>IF(COUNTA(M50:P50)=0,"",ROUND((M50*0.35)+(N50*0.20)+(O50*0.20)+(P50*0.25),2))</x:f>
      </x:c>
      <x:c r="R50" s="25"/>
      <x:c r="S50" s="28"/>
      <x:c r="T50" s="25"/>
      <x:c r="U50" s="25"/>
      <x:c r="V50" s="21"/>
      <x:c r="W50" s="21"/>
      <x:c r="X50" s="21"/>
      <x:c r="Y50" s="21"/>
      <x:c r="Z50" s="21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 t="str">
        <x:f>IF(COUNTA(M51:P51)=0,"",ROUND((M51*0.35)+(N51*0.20)+(O51*0.20)+(P51*0.25),2))</x:f>
      </x:c>
      <x:c r="R51" s="25"/>
      <x:c r="S51" s="28"/>
      <x:c r="T51" s="25"/>
      <x:c r="U51" s="25"/>
      <x:c r="V51" s="21"/>
      <x:c r="W51" s="21"/>
      <x:c r="X51" s="21"/>
      <x:c r="Y51" s="21"/>
      <x:c r="Z51" s="21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 t="str">
        <x:f>IF(COUNTA(M52:P52)=0,"",ROUND((M52*0.35)+(N52*0.20)+(O52*0.20)+(P52*0.25),2))</x:f>
      </x:c>
      <x:c r="R52" s="25"/>
      <x:c r="S52" s="28"/>
      <x:c r="T52" s="25"/>
      <x:c r="U52" s="25"/>
      <x:c r="V52" s="21"/>
      <x:c r="W52" s="21"/>
      <x:c r="X52" s="21"/>
      <x:c r="Y52" s="21"/>
      <x:c r="Z52" s="21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 t="str">
        <x:f>IF(COUNTA(M53:P53)=0,"",ROUND((M53*0.35)+(N53*0.20)+(O53*0.20)+(P53*0.25),2))</x:f>
      </x:c>
      <x:c r="R53" s="25"/>
      <x:c r="S53" s="28"/>
      <x:c r="T53" s="25"/>
      <x:c r="U53" s="25"/>
      <x:c r="V53" s="21"/>
      <x:c r="W53" s="21"/>
      <x:c r="X53" s="21"/>
      <x:c r="Y53" s="21"/>
      <x:c r="Z53" s="21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 t="str">
        <x:f>IF(COUNTA(M54:P54)=0,"",ROUND((M54*0.35)+(N54*0.20)+(O54*0.20)+(P54*0.25),2))</x:f>
      </x:c>
      <x:c r="R54" s="25"/>
      <x:c r="S54" s="28"/>
      <x:c r="T54" s="25"/>
      <x:c r="U54" s="25"/>
      <x:c r="V54" s="21"/>
      <x:c r="W54" s="21"/>
      <x:c r="X54" s="21"/>
      <x:c r="Y54" s="21"/>
      <x:c r="Z54" s="21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 t="str">
        <x:f>IF(COUNTA(M55:P55)=0,"",ROUND((M55*0.35)+(N55*0.20)+(O55*0.20)+(P55*0.25),2))</x:f>
      </x:c>
      <x:c r="R55" s="25"/>
      <x:c r="S55" s="28"/>
      <x:c r="T55" s="25"/>
      <x:c r="U55" s="25"/>
      <x:c r="V55" s="21"/>
      <x:c r="W55" s="21"/>
      <x:c r="X55" s="21"/>
      <x:c r="Y55" s="21"/>
      <x:c r="Z55" s="21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 t="str">
        <x:f>IF(COUNTA(M56:P56)=0,"",ROUND((M56*0.35)+(N56*0.20)+(O56*0.20)+(P56*0.25),2))</x:f>
      </x:c>
      <x:c r="R56" s="25"/>
      <x:c r="S56" s="28"/>
      <x:c r="T56" s="25"/>
      <x:c r="U56" s="25"/>
      <x:c r="V56" s="21"/>
      <x:c r="W56" s="21"/>
      <x:c r="X56" s="21"/>
      <x:c r="Y56" s="21"/>
      <x:c r="Z56" s="21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 t="str">
        <x:f>IF(COUNTA(M57:P57)=0,"",ROUND((M57*0.35)+(N57*0.20)+(O57*0.20)+(P57*0.25),2))</x:f>
      </x:c>
      <x:c r="R57" s="25"/>
      <x:c r="S57" s="28"/>
      <x:c r="T57" s="25"/>
      <x:c r="U57" s="25"/>
      <x:c r="V57" s="21"/>
      <x:c r="W57" s="21"/>
      <x:c r="X57" s="21"/>
      <x:c r="Y57" s="21"/>
      <x:c r="Z57" s="21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 t="str">
        <x:f>IF(COUNTA(M58:P58)=0,"",ROUND((M58*0.35)+(N58*0.20)+(O58*0.20)+(P58*0.25),2))</x:f>
      </x:c>
      <x:c r="R58" s="25"/>
      <x:c r="S58" s="28"/>
      <x:c r="T58" s="25"/>
      <x:c r="U58" s="25"/>
      <x:c r="V58" s="21"/>
      <x:c r="W58" s="21"/>
      <x:c r="X58" s="21"/>
      <x:c r="Y58" s="21"/>
      <x:c r="Z58" s="21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 t="str">
        <x:f>IF(COUNTA(M59:P59)=0,"",ROUND((M59*0.35)+(N59*0.20)+(O59*0.20)+(P59*0.25),2))</x:f>
      </x:c>
      <x:c r="R59" s="25"/>
      <x:c r="S59" s="28"/>
      <x:c r="T59" s="25"/>
      <x:c r="U59" s="25"/>
      <x:c r="V59" s="21"/>
      <x:c r="W59" s="21"/>
      <x:c r="X59" s="21"/>
      <x:c r="Y59" s="21"/>
      <x:c r="Z59" s="21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 t="str">
        <x:f>IF(COUNTA(M60:P60)=0,"",ROUND((M60*0.35)+(N60*0.20)+(O60*0.20)+(P60*0.25),2))</x:f>
      </x:c>
      <x:c r="R60" s="25"/>
      <x:c r="S60" s="28"/>
      <x:c r="T60" s="25"/>
      <x:c r="U60" s="25"/>
      <x:c r="V60" s="21"/>
      <x:c r="W60" s="21"/>
      <x:c r="X60" s="21"/>
      <x:c r="Y60" s="21"/>
      <x:c r="Z60" s="21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 t="str">
        <x:f>IF(COUNTA(M61:P61)=0,"",ROUND((M61*0.35)+(N61*0.20)+(O61*0.20)+(P61*0.25),2))</x:f>
      </x:c>
      <x:c r="R61" s="25"/>
      <x:c r="S61" s="28"/>
      <x:c r="T61" s="25"/>
      <x:c r="U61" s="25"/>
      <x:c r="V61" s="21"/>
      <x:c r="W61" s="21"/>
      <x:c r="X61" s="21"/>
      <x:c r="Y61" s="21"/>
      <x:c r="Z61" s="21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 t="str">
        <x:f>IF(COUNTA(M62:P62)=0,"",ROUND((M62*0.35)+(N62*0.20)+(O62*0.20)+(P62*0.25),2))</x:f>
      </x:c>
      <x:c r="R62" s="25"/>
      <x:c r="S62" s="28"/>
      <x:c r="T62" s="25"/>
      <x:c r="U62" s="25"/>
      <x:c r="V62" s="21"/>
      <x:c r="W62" s="21"/>
      <x:c r="X62" s="21"/>
      <x:c r="Y62" s="21"/>
      <x:c r="Z62" s="21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 t="str">
        <x:f>IF(COUNTA(M63:P63)=0,"",ROUND((M63*0.35)+(N63*0.20)+(O63*0.20)+(P63*0.25),2))</x:f>
      </x:c>
      <x:c r="R63" s="25"/>
      <x:c r="S63" s="28"/>
      <x:c r="T63" s="25"/>
      <x:c r="U63" s="25"/>
      <x:c r="V63" s="21"/>
      <x:c r="W63" s="21"/>
      <x:c r="X63" s="21"/>
      <x:c r="Y63" s="21"/>
      <x:c r="Z63" s="21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 t="str">
        <x:f>IF(COUNTA(M64:P64)=0,"",ROUND((M64*0.35)+(N64*0.20)+(O64*0.20)+(P64*0.25),2))</x:f>
      </x:c>
      <x:c r="R64" s="25"/>
      <x:c r="S64" s="28"/>
      <x:c r="T64" s="25"/>
      <x:c r="U64" s="25"/>
      <x:c r="V64" s="21"/>
      <x:c r="W64" s="21"/>
      <x:c r="X64" s="21"/>
      <x:c r="Y64" s="21"/>
      <x:c r="Z64" s="21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 t="str">
        <x:f>IF(COUNTA(M65:P65)=0,"",ROUND((M65*0.35)+(N65*0.20)+(O65*0.20)+(P65*0.25),2))</x:f>
      </x:c>
      <x:c r="R65" s="25"/>
      <x:c r="S65" s="28"/>
      <x:c r="T65" s="25"/>
      <x:c r="U65" s="25"/>
      <x:c r="V65" s="21"/>
      <x:c r="W65" s="21"/>
      <x:c r="X65" s="21"/>
      <x:c r="Y65" s="21"/>
      <x:c r="Z65" s="21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 t="str">
        <x:f>IF(COUNTA(M66:P66)=0,"",ROUND((M66*0.35)+(N66*0.20)+(O66*0.20)+(P66*0.25),2))</x:f>
      </x:c>
      <x:c r="R66" s="25"/>
      <x:c r="S66" s="28"/>
      <x:c r="T66" s="25"/>
      <x:c r="U66" s="25"/>
      <x:c r="V66" s="21"/>
      <x:c r="W66" s="21"/>
      <x:c r="X66" s="21"/>
      <x:c r="Y66" s="21"/>
      <x:c r="Z66" s="21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 t="str">
        <x:f>IF(COUNTA(M67:P67)=0,"",ROUND((M67*0.35)+(N67*0.20)+(O67*0.20)+(P67*0.25),2))</x:f>
      </x:c>
      <x:c r="R67" s="25"/>
      <x:c r="S67" s="28"/>
      <x:c r="T67" s="25"/>
      <x:c r="U67" s="25"/>
      <x:c r="V67" s="21"/>
      <x:c r="W67" s="21"/>
      <x:c r="X67" s="21"/>
      <x:c r="Y67" s="21"/>
      <x:c r="Z67" s="21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 t="str">
        <x:f>IF(COUNTA(M68:P68)=0,"",ROUND((M68*0.35)+(N68*0.20)+(O68*0.20)+(P68*0.25),2))</x:f>
      </x:c>
      <x:c r="R68" s="25"/>
      <x:c r="S68" s="28"/>
      <x:c r="T68" s="25"/>
      <x:c r="U68" s="25"/>
      <x:c r="V68" s="21"/>
      <x:c r="W68" s="21"/>
      <x:c r="X68" s="21"/>
      <x:c r="Y68" s="21"/>
      <x:c r="Z68" s="21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 t="str">
        <x:f>IF(COUNTA(M69:P69)=0,"",ROUND((M69*0.35)+(N69*0.20)+(O69*0.20)+(P69*0.25),2))</x:f>
      </x:c>
      <x:c r="R69" s="25"/>
      <x:c r="S69" s="28"/>
      <x:c r="T69" s="25"/>
      <x:c r="U69" s="25"/>
      <x:c r="V69" s="21"/>
      <x:c r="W69" s="21"/>
      <x:c r="X69" s="21"/>
      <x:c r="Y69" s="21"/>
      <x:c r="Z69" s="21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 t="str">
        <x:f>IF(COUNTA(M70:P70)=0,"",ROUND((M70*0.35)+(N70*0.20)+(O70*0.20)+(P70*0.25),2))</x:f>
      </x:c>
      <x:c r="R70" s="25"/>
      <x:c r="S70" s="28"/>
      <x:c r="T70" s="25"/>
      <x:c r="U70" s="25"/>
      <x:c r="V70" s="21"/>
      <x:c r="W70" s="21"/>
      <x:c r="X70" s="21"/>
      <x:c r="Y70" s="21"/>
      <x:c r="Z70" s="21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 t="str">
        <x:f>IF(COUNTA(M71:P71)=0,"",ROUND((M71*0.35)+(N71*0.20)+(O71*0.20)+(P71*0.25),2))</x:f>
      </x:c>
      <x:c r="R71" s="25"/>
      <x:c r="S71" s="28"/>
      <x:c r="T71" s="25"/>
      <x:c r="U71" s="25"/>
      <x:c r="V71" s="21"/>
      <x:c r="W71" s="21"/>
      <x:c r="X71" s="21"/>
      <x:c r="Y71" s="21"/>
      <x:c r="Z71" s="21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 t="str">
        <x:f>IF(COUNTA(M72:P72)=0,"",ROUND((M72*0.35)+(N72*0.20)+(O72*0.20)+(P72*0.25),2))</x:f>
      </x:c>
      <x:c r="R72" s="25"/>
      <x:c r="S72" s="28"/>
      <x:c r="T72" s="25"/>
      <x:c r="U72" s="25"/>
      <x:c r="V72" s="21"/>
      <x:c r="W72" s="21"/>
      <x:c r="X72" s="21"/>
      <x:c r="Y72" s="21"/>
      <x:c r="Z72" s="21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 t="str">
        <x:f>IF(COUNTA(M73:P73)=0,"",ROUND((M73*0.35)+(N73*0.20)+(O73*0.20)+(P73*0.25),2))</x:f>
      </x:c>
      <x:c r="R73" s="25"/>
      <x:c r="S73" s="28"/>
      <x:c r="T73" s="25"/>
      <x:c r="U73" s="25"/>
      <x:c r="V73" s="21"/>
      <x:c r="W73" s="21"/>
      <x:c r="X73" s="21"/>
      <x:c r="Y73" s="21"/>
      <x:c r="Z73" s="21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 t="str">
        <x:f>IF(COUNTA(M74:P74)=0,"",ROUND((M74*0.35)+(N74*0.20)+(O74*0.20)+(P74*0.25),2))</x:f>
      </x:c>
      <x:c r="R74" s="25"/>
      <x:c r="S74" s="28"/>
      <x:c r="T74" s="25"/>
      <x:c r="U74" s="25"/>
      <x:c r="V74" s="21"/>
      <x:c r="W74" s="21"/>
      <x:c r="X74" s="21"/>
      <x:c r="Y74" s="21"/>
      <x:c r="Z74" s="21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 t="str">
        <x:f>IF(COUNTA(M75:P75)=0,"",ROUND((M75*0.35)+(N75*0.20)+(O75*0.20)+(P75*0.25),2))</x:f>
      </x:c>
      <x:c r="R75" s="25"/>
      <x:c r="S75" s="28"/>
      <x:c r="T75" s="25"/>
      <x:c r="U75" s="25"/>
      <x:c r="V75" s="21"/>
      <x:c r="W75" s="21"/>
      <x:c r="X75" s="21"/>
      <x:c r="Y75" s="21"/>
      <x:c r="Z75" s="21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 t="str">
        <x:f>IF(COUNTA(M76:P76)=0,"",ROUND((M76*0.35)+(N76*0.20)+(O76*0.20)+(P76*0.25),2))</x:f>
      </x:c>
      <x:c r="R76" s="25"/>
      <x:c r="S76" s="28"/>
      <x:c r="T76" s="25"/>
      <x:c r="U76" s="25"/>
      <x:c r="V76" s="21"/>
      <x:c r="W76" s="21"/>
      <x:c r="X76" s="21"/>
      <x:c r="Y76" s="21"/>
      <x:c r="Z76" s="21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 t="str">
        <x:f>IF(COUNTA(M77:P77)=0,"",ROUND((M77*0.35)+(N77*0.20)+(O77*0.20)+(P77*0.25),2))</x:f>
      </x:c>
      <x:c r="R77" s="25"/>
      <x:c r="S77" s="28"/>
      <x:c r="T77" s="25"/>
      <x:c r="U77" s="25"/>
      <x:c r="V77" s="21"/>
      <x:c r="W77" s="21"/>
      <x:c r="X77" s="21"/>
      <x:c r="Y77" s="21"/>
      <x:c r="Z77" s="21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 t="str">
        <x:f>IF(COUNTA(M78:P78)=0,"",ROUND((M78*0.35)+(N78*0.20)+(O78*0.20)+(P78*0.25),2))</x:f>
      </x:c>
      <x:c r="R78" s="25"/>
      <x:c r="S78" s="28"/>
      <x:c r="T78" s="25"/>
      <x:c r="U78" s="25"/>
      <x:c r="V78" s="21"/>
      <x:c r="W78" s="21"/>
      <x:c r="X78" s="21"/>
      <x:c r="Y78" s="21"/>
      <x:c r="Z78" s="21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 t="str">
        <x:f>IF(COUNTA(M79:P79)=0,"",ROUND((M79*0.35)+(N79*0.20)+(O79*0.20)+(P79*0.25),2))</x:f>
      </x:c>
      <x:c r="R79" s="25"/>
      <x:c r="S79" s="28"/>
      <x:c r="T79" s="25"/>
      <x:c r="U79" s="25"/>
      <x:c r="V79" s="21"/>
      <x:c r="W79" s="21"/>
      <x:c r="X79" s="21"/>
      <x:c r="Y79" s="21"/>
      <x:c r="Z79" s="21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 t="str">
        <x:f>IF(COUNTA(M80:P80)=0,"",ROUND((M80*0.35)+(N80*0.20)+(O80*0.20)+(P80*0.25),2))</x:f>
      </x:c>
      <x:c r="R80" s="25"/>
      <x:c r="S80" s="28"/>
      <x:c r="T80" s="25"/>
      <x:c r="U80" s="25"/>
      <x:c r="V80" s="21"/>
      <x:c r="W80" s="21"/>
      <x:c r="X80" s="21"/>
      <x:c r="Y80" s="21"/>
      <x:c r="Z80" s="21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 t="str">
        <x:f>IF(COUNTA(M81:P81)=0,"",ROUND((M81*0.35)+(N81*0.20)+(O81*0.20)+(P81*0.25),2))</x:f>
      </x:c>
      <x:c r="R81" s="25"/>
      <x:c r="S81" s="28"/>
      <x:c r="T81" s="25"/>
      <x:c r="U81" s="25"/>
      <x:c r="V81" s="21"/>
      <x:c r="W81" s="21"/>
      <x:c r="X81" s="21"/>
      <x:c r="Y81" s="21"/>
      <x:c r="Z81" s="21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 t="str">
        <x:f>IF(COUNTA(M82:P82)=0,"",ROUND((M82*0.35)+(N82*0.20)+(O82*0.20)+(P82*0.25),2))</x:f>
      </x:c>
      <x:c r="R82" s="25"/>
      <x:c r="S82" s="28"/>
      <x:c r="T82" s="25"/>
      <x:c r="U82" s="25"/>
      <x:c r="V82" s="21"/>
      <x:c r="W82" s="21"/>
      <x:c r="X82" s="21"/>
      <x:c r="Y82" s="21"/>
      <x:c r="Z82" s="21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 t="str">
        <x:f>IF(COUNTA(M83:P83)=0,"",ROUND((M83*0.35)+(N83*0.20)+(O83*0.20)+(P83*0.25),2))</x:f>
      </x:c>
      <x:c r="R83" s="25"/>
      <x:c r="S83" s="28"/>
      <x:c r="T83" s="25"/>
      <x:c r="U83" s="25"/>
      <x:c r="V83" s="21"/>
      <x:c r="W83" s="21"/>
      <x:c r="X83" s="21"/>
      <x:c r="Y83" s="21"/>
      <x:c r="Z83" s="21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 t="str">
        <x:f>IF(COUNTA(M84:P84)=0,"",ROUND((M84*0.35)+(N84*0.20)+(O84*0.20)+(P84*0.25),2))</x:f>
      </x:c>
      <x:c r="R84" s="25"/>
      <x:c r="S84" s="28"/>
      <x:c r="T84" s="25"/>
      <x:c r="U84" s="25"/>
      <x:c r="V84" s="21"/>
      <x:c r="W84" s="21"/>
      <x:c r="X84" s="21"/>
      <x:c r="Y84" s="21"/>
      <x:c r="Z84" s="21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 t="str">
        <x:f>IF(COUNTA(M85:P85)=0,"",ROUND((M85*0.35)+(N85*0.20)+(O85*0.20)+(P85*0.25),2))</x:f>
      </x:c>
      <x:c r="R85" s="25"/>
      <x:c r="S85" s="28"/>
      <x:c r="T85" s="25"/>
      <x:c r="U85" s="25"/>
      <x:c r="V85" s="21"/>
      <x:c r="W85" s="21"/>
      <x:c r="X85" s="21"/>
      <x:c r="Y85" s="21"/>
      <x:c r="Z85" s="21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 t="str">
        <x:f>IF(COUNTA(M86:P86)=0,"",ROUND((M86*0.35)+(N86*0.20)+(O86*0.20)+(P86*0.25),2))</x:f>
      </x:c>
      <x:c r="R86" s="25"/>
      <x:c r="S86" s="28"/>
      <x:c r="T86" s="25"/>
      <x:c r="U86" s="25"/>
      <x:c r="V86" s="21"/>
      <x:c r="W86" s="21"/>
      <x:c r="X86" s="21"/>
      <x:c r="Y86" s="21"/>
      <x:c r="Z86" s="21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 t="str">
        <x:f>IF(COUNTA(M87:P87)=0,"",ROUND((M87*0.35)+(N87*0.20)+(O87*0.20)+(P87*0.25),2))</x:f>
      </x:c>
      <x:c r="R87" s="25"/>
      <x:c r="S87" s="28"/>
      <x:c r="T87" s="25"/>
      <x:c r="U87" s="25"/>
      <x:c r="V87" s="21"/>
      <x:c r="W87" s="21"/>
      <x:c r="X87" s="21"/>
      <x:c r="Y87" s="21"/>
      <x:c r="Z87" s="21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 t="str">
        <x:f>IF(COUNTA(M88:P88)=0,"",ROUND((M88*0.35)+(N88*0.20)+(O88*0.20)+(P88*0.25),2))</x:f>
      </x:c>
      <x:c r="R88" s="25"/>
      <x:c r="S88" s="28"/>
      <x:c r="T88" s="25"/>
      <x:c r="U88" s="25"/>
      <x:c r="V88" s="21"/>
      <x:c r="W88" s="21"/>
      <x:c r="X88" s="21"/>
      <x:c r="Y88" s="21"/>
      <x:c r="Z88" s="21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 t="str">
        <x:f>IF(COUNTA(M89:P89)=0,"",ROUND((M89*0.35)+(N89*0.20)+(O89*0.20)+(P89*0.25),2))</x:f>
      </x:c>
      <x:c r="R89" s="25"/>
      <x:c r="S89" s="28"/>
      <x:c r="T89" s="25"/>
      <x:c r="U89" s="25"/>
      <x:c r="V89" s="21"/>
      <x:c r="W89" s="21"/>
      <x:c r="X89" s="21"/>
      <x:c r="Y89" s="21"/>
      <x:c r="Z89" s="21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 t="str">
        <x:f>IF(COUNTA(M90:P90)=0,"",ROUND((M90*0.35)+(N90*0.20)+(O90*0.20)+(P90*0.25),2))</x:f>
      </x:c>
      <x:c r="R90" s="25"/>
      <x:c r="S90" s="28"/>
      <x:c r="T90" s="25"/>
      <x:c r="U90" s="25"/>
      <x:c r="V90" s="21"/>
      <x:c r="W90" s="21"/>
      <x:c r="X90" s="21"/>
      <x:c r="Y90" s="21"/>
      <x:c r="Z90" s="21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 t="str">
        <x:f>IF(COUNTA(M91:P91)=0,"",ROUND((M91*0.35)+(N91*0.20)+(O91*0.20)+(P91*0.25),2))</x:f>
      </x:c>
      <x:c r="R91" s="25"/>
      <x:c r="S91" s="28"/>
      <x:c r="T91" s="25"/>
      <x:c r="U91" s="25"/>
      <x:c r="V91" s="21"/>
      <x:c r="W91" s="21"/>
      <x:c r="X91" s="21"/>
      <x:c r="Y91" s="21"/>
      <x:c r="Z91" s="21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 t="str">
        <x:f>IF(COUNTA(M92:P92)=0,"",ROUND((M92*0.35)+(N92*0.20)+(O92*0.20)+(P92*0.25),2))</x:f>
      </x:c>
      <x:c r="R92" s="25"/>
      <x:c r="S92" s="28"/>
      <x:c r="T92" s="25"/>
      <x:c r="U92" s="25"/>
      <x:c r="V92" s="21"/>
      <x:c r="W92" s="21"/>
      <x:c r="X92" s="21"/>
      <x:c r="Y92" s="21"/>
      <x:c r="Z92" s="21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 t="str">
        <x:f>IF(COUNTA(M93:P93)=0,"",ROUND((M93*0.35)+(N93*0.20)+(O93*0.20)+(P93*0.25),2))</x:f>
      </x:c>
      <x:c r="R93" s="25"/>
      <x:c r="S93" s="28"/>
      <x:c r="T93" s="25"/>
      <x:c r="U93" s="25"/>
      <x:c r="V93" s="21"/>
      <x:c r="W93" s="21"/>
      <x:c r="X93" s="21"/>
      <x:c r="Y93" s="21"/>
      <x:c r="Z93" s="21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 t="str">
        <x:f>IF(COUNTA(M94:P94)=0,"",ROUND((M94*0.35)+(N94*0.20)+(O94*0.20)+(P94*0.25),2))</x:f>
      </x:c>
      <x:c r="R94" s="25"/>
      <x:c r="S94" s="28"/>
      <x:c r="T94" s="25"/>
      <x:c r="U94" s="25"/>
      <x:c r="V94" s="21"/>
      <x:c r="W94" s="21"/>
      <x:c r="X94" s="21"/>
      <x:c r="Y94" s="21"/>
      <x:c r="Z94" s="21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 t="str">
        <x:f>IF(COUNTA(M95:P95)=0,"",ROUND((M95*0.35)+(N95*0.20)+(O95*0.20)+(P95*0.25),2))</x:f>
      </x:c>
      <x:c r="R95" s="25"/>
      <x:c r="S95" s="28"/>
      <x:c r="T95" s="25"/>
      <x:c r="U95" s="25"/>
      <x:c r="V95" s="21"/>
      <x:c r="W95" s="21"/>
      <x:c r="X95" s="21"/>
      <x:c r="Y95" s="21"/>
      <x:c r="Z95" s="21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 t="str">
        <x:f>IF(COUNTA(M96:P96)=0,"",ROUND((M96*0.35)+(N96*0.20)+(O96*0.20)+(P96*0.25),2))</x:f>
      </x:c>
      <x:c r="R96" s="25"/>
      <x:c r="S96" s="28"/>
      <x:c r="T96" s="25"/>
      <x:c r="U96" s="25"/>
      <x:c r="V96" s="21"/>
      <x:c r="W96" s="21"/>
      <x:c r="X96" s="21"/>
      <x:c r="Y96" s="21"/>
      <x:c r="Z96" s="21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 t="str">
        <x:f>IF(COUNTA(M97:P97)=0,"",ROUND((M97*0.35)+(N97*0.20)+(O97*0.20)+(P97*0.25),2))</x:f>
      </x:c>
      <x:c r="R97" s="25"/>
      <x:c r="S97" s="28"/>
      <x:c r="T97" s="25"/>
      <x:c r="U97" s="25"/>
      <x:c r="V97" s="21"/>
      <x:c r="W97" s="21"/>
      <x:c r="X97" s="21"/>
      <x:c r="Y97" s="21"/>
      <x:c r="Z97" s="21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 t="str">
        <x:f>IF(COUNTA(M98:P98)=0,"",ROUND((M98*0.35)+(N98*0.20)+(O98*0.20)+(P98*0.25),2))</x:f>
      </x:c>
      <x:c r="R98" s="25"/>
      <x:c r="S98" s="28"/>
      <x:c r="T98" s="25"/>
      <x:c r="U98" s="25"/>
      <x:c r="V98" s="21"/>
      <x:c r="W98" s="21"/>
      <x:c r="X98" s="21"/>
      <x:c r="Y98" s="21"/>
      <x:c r="Z98" s="21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 t="str">
        <x:f>IF(COUNTA(M99:P99)=0,"",ROUND((M99*0.35)+(N99*0.20)+(O99*0.20)+(P99*0.25),2))</x:f>
      </x:c>
      <x:c r="R99" s="25"/>
      <x:c r="S99" s="28"/>
      <x:c r="T99" s="25"/>
      <x:c r="U99" s="25"/>
      <x:c r="V99" s="21"/>
      <x:c r="W99" s="21"/>
      <x:c r="X99" s="21"/>
      <x:c r="Y99" s="21"/>
      <x:c r="Z99" s="21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 t="str">
        <x:f>IF(COUNTA(M100:P100)=0,"",ROUND((M100*0.35)+(N100*0.20)+(O100*0.20)+(P100*0.25),2))</x:f>
      </x:c>
      <x:c r="R100" s="25"/>
      <x:c r="S100" s="28"/>
      <x:c r="T100" s="25"/>
      <x:c r="U100" s="25"/>
      <x:c r="V100" s="21"/>
      <x:c r="W100" s="21"/>
      <x:c r="X100" s="21"/>
      <x:c r="Y100" s="21"/>
      <x:c r="Z100" s="21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 t="str">
        <x:f>IF(COUNTA(M101:P101)=0,"",ROUND((M101*0.35)+(N101*0.20)+(O101*0.20)+(P101*0.25),2))</x:f>
      </x:c>
      <x:c r="R101" s="25"/>
      <x:c r="S101" s="28"/>
      <x:c r="T101" s="25"/>
      <x:c r="U101" s="25"/>
      <x:c r="V101" s="21"/>
      <x:c r="W101" s="21"/>
      <x:c r="X101" s="21"/>
      <x:c r="Y101" s="21"/>
      <x:c r="Z101" s="21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 t="str">
        <x:f>IF(COUNTA(M102:P102)=0,"",ROUND((M102*0.35)+(N102*0.20)+(O102*0.20)+(P102*0.25),2))</x:f>
      </x:c>
      <x:c r="R102" s="25"/>
      <x:c r="S102" s="28"/>
      <x:c r="T102" s="25"/>
      <x:c r="U102" s="25"/>
      <x:c r="V102" s="21"/>
      <x:c r="W102" s="21"/>
      <x:c r="X102" s="21"/>
      <x:c r="Y102" s="21"/>
      <x:c r="Z102" s="21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 t="str">
        <x:f>IF(COUNTA(M103:P103)=0,"",ROUND((M103*0.35)+(N103*0.20)+(O103*0.20)+(P103*0.25),2))</x:f>
      </x:c>
      <x:c r="R103" s="25"/>
      <x:c r="S103" s="28"/>
      <x:c r="T103" s="25"/>
      <x:c r="U103" s="25"/>
      <x:c r="V103" s="21"/>
      <x:c r="W103" s="21"/>
      <x:c r="X103" s="21"/>
      <x:c r="Y103" s="21"/>
      <x:c r="Z103" s="21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 t="str">
        <x:f>IF(COUNTA(M104:P104)=0,"",ROUND((M104*0.35)+(N104*0.20)+(O104*0.20)+(P104*0.25),2))</x:f>
      </x:c>
      <x:c r="R104" s="25"/>
      <x:c r="S104" s="28"/>
      <x:c r="T104" s="25"/>
      <x:c r="U104" s="25"/>
      <x:c r="V104" s="21"/>
      <x:c r="W104" s="21"/>
      <x:c r="X104" s="21"/>
      <x:c r="Y104" s="21"/>
      <x:c r="Z104" s="21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 t="str">
        <x:f>IF(COUNTA(M105:P105)=0,"",ROUND((M105*0.35)+(N105*0.20)+(O105*0.20)+(P105*0.25),2))</x:f>
      </x:c>
      <x:c r="R105" s="25"/>
      <x:c r="S105" s="28"/>
      <x:c r="T105" s="25"/>
      <x:c r="U105" s="25"/>
      <x:c r="V105" s="21"/>
      <x:c r="W105" s="21"/>
      <x:c r="X105" s="21"/>
      <x:c r="Y105" s="21"/>
      <x:c r="Z105" s="21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 t="str">
        <x:f>IF(COUNTA(M106:P106)=0,"",ROUND((M106*0.35)+(N106*0.20)+(O106*0.20)+(P106*0.25),2))</x:f>
      </x:c>
      <x:c r="R106" s="25"/>
      <x:c r="S106" s="28"/>
      <x:c r="T106" s="25"/>
      <x:c r="U106" s="25"/>
      <x:c r="V106" s="21"/>
      <x:c r="W106" s="21"/>
      <x:c r="X106" s="21"/>
      <x:c r="Y106" s="21"/>
      <x:c r="Z106" s="21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 t="str">
        <x:f>IF(COUNTA(M107:P107)=0,"",ROUND((M107*0.35)+(N107*0.20)+(O107*0.20)+(P107*0.25),2))</x:f>
      </x:c>
      <x:c r="R107" s="25"/>
      <x:c r="S107" s="28"/>
      <x:c r="T107" s="25"/>
      <x:c r="U107" s="25"/>
      <x:c r="V107" s="21"/>
      <x:c r="W107" s="21"/>
      <x:c r="X107" s="21"/>
      <x:c r="Y107" s="21"/>
      <x:c r="Z107" s="21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 t="str">
        <x:f>IF(COUNTA(M108:P108)=0,"",ROUND((M108*0.35)+(N108*0.20)+(O108*0.20)+(P108*0.25),2))</x:f>
      </x:c>
      <x:c r="R108" s="25"/>
      <x:c r="S108" s="28"/>
      <x:c r="T108" s="25"/>
      <x:c r="U108" s="25"/>
      <x:c r="V108" s="21"/>
      <x:c r="W108" s="21"/>
      <x:c r="X108" s="21"/>
      <x:c r="Y108" s="21"/>
      <x:c r="Z108" s="21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 t="str">
        <x:f>IF(COUNTA(M109:P109)=0,"",ROUND((M109*0.35)+(N109*0.20)+(O109*0.20)+(P109*0.25),2))</x:f>
      </x:c>
      <x:c r="R109" s="25"/>
      <x:c r="S109" s="28"/>
      <x:c r="T109" s="25"/>
      <x:c r="U109" s="25"/>
      <x:c r="V109" s="21"/>
      <x:c r="W109" s="21"/>
      <x:c r="X109" s="21"/>
      <x:c r="Y109" s="21"/>
      <x:c r="Z109" s="21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 t="str">
        <x:f>IF(COUNTA(M110:P110)=0,"",ROUND((M110*0.35)+(N110*0.20)+(O110*0.20)+(P110*0.25),2))</x:f>
      </x:c>
      <x:c r="R110" s="25"/>
      <x:c r="S110" s="28"/>
      <x:c r="T110" s="25"/>
      <x:c r="U110" s="25"/>
      <x:c r="V110" s="21"/>
      <x:c r="W110" s="21"/>
      <x:c r="X110" s="21"/>
      <x:c r="Y110" s="21"/>
      <x:c r="Z110" s="21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 t="str">
        <x:f>IF(COUNTA(M111:P111)=0,"",ROUND((M111*0.35)+(N111*0.20)+(O111*0.20)+(P111*0.25),2))</x:f>
      </x:c>
      <x:c r="R111" s="25"/>
      <x:c r="S111" s="28"/>
      <x:c r="T111" s="25"/>
      <x:c r="U111" s="25"/>
      <x:c r="V111" s="21"/>
      <x:c r="W111" s="21"/>
      <x:c r="X111" s="21"/>
      <x:c r="Y111" s="21"/>
      <x:c r="Z111" s="21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 t="str">
        <x:f>IF(COUNTA(M112:P112)=0,"",ROUND((M112*0.35)+(N112*0.20)+(O112*0.20)+(P112*0.25),2))</x:f>
      </x:c>
      <x:c r="R112" s="25"/>
      <x:c r="S112" s="28"/>
      <x:c r="T112" s="25"/>
      <x:c r="U112" s="25"/>
      <x:c r="V112" s="21"/>
      <x:c r="W112" s="21"/>
      <x:c r="X112" s="21"/>
      <x:c r="Y112" s="21"/>
      <x:c r="Z112" s="21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 t="str">
        <x:f>IF(COUNTA(M113:P113)=0,"",ROUND((M113*0.35)+(N113*0.20)+(O113*0.20)+(P113*0.25),2))</x:f>
      </x:c>
      <x:c r="R113" s="25"/>
      <x:c r="S113" s="28"/>
      <x:c r="T113" s="25"/>
      <x:c r="U113" s="25"/>
      <x:c r="V113" s="21"/>
      <x:c r="W113" s="21"/>
      <x:c r="X113" s="21"/>
      <x:c r="Y113" s="21"/>
      <x:c r="Z113" s="21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 t="str">
        <x:f>IF(COUNTA(M114:P114)=0,"",ROUND((M114*0.35)+(N114*0.20)+(O114*0.20)+(P114*0.25),2))</x:f>
      </x:c>
      <x:c r="R114" s="25"/>
      <x:c r="S114" s="28"/>
      <x:c r="T114" s="25"/>
      <x:c r="U114" s="25"/>
      <x:c r="V114" s="21"/>
      <x:c r="W114" s="21"/>
      <x:c r="X114" s="21"/>
      <x:c r="Y114" s="21"/>
      <x:c r="Z114" s="21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 t="str">
        <x:f>IF(COUNTA(M115:P115)=0,"",ROUND((M115*0.35)+(N115*0.20)+(O115*0.20)+(P115*0.25),2))</x:f>
      </x:c>
      <x:c r="R115" s="25"/>
      <x:c r="S115" s="28"/>
      <x:c r="T115" s="25"/>
      <x:c r="U115" s="25"/>
      <x:c r="V115" s="21"/>
      <x:c r="W115" s="21"/>
      <x:c r="X115" s="21"/>
      <x:c r="Y115" s="21"/>
      <x:c r="Z115" s="21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 t="str">
        <x:f>IF(COUNTA(M116:P116)=0,"",ROUND((M116*0.35)+(N116*0.20)+(O116*0.20)+(P116*0.25),2))</x:f>
      </x:c>
      <x:c r="R116" s="25"/>
      <x:c r="S116" s="28"/>
      <x:c r="T116" s="25"/>
      <x:c r="U116" s="25"/>
      <x:c r="V116" s="21"/>
      <x:c r="W116" s="21"/>
      <x:c r="X116" s="21"/>
      <x:c r="Y116" s="21"/>
      <x:c r="Z116" s="21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 t="str">
        <x:f>IF(COUNTA(M117:P117)=0,"",ROUND((M117*0.35)+(N117*0.20)+(O117*0.20)+(P117*0.25),2))</x:f>
      </x:c>
      <x:c r="R117" s="25"/>
      <x:c r="S117" s="28"/>
      <x:c r="T117" s="25"/>
      <x:c r="U117" s="25"/>
      <x:c r="V117" s="21"/>
      <x:c r="W117" s="21"/>
      <x:c r="X117" s="21"/>
      <x:c r="Y117" s="21"/>
      <x:c r="Z117" s="21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 t="str">
        <x:f>IF(COUNTA(M118:P118)=0,"",ROUND((M118*0.35)+(N118*0.20)+(O118*0.20)+(P118*0.25),2))</x:f>
      </x:c>
      <x:c r="R118" s="25"/>
      <x:c r="S118" s="28"/>
      <x:c r="T118" s="25"/>
      <x:c r="U118" s="25"/>
      <x:c r="V118" s="21"/>
      <x:c r="W118" s="21"/>
      <x:c r="X118" s="21"/>
      <x:c r="Y118" s="21"/>
      <x:c r="Z118" s="21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 t="str">
        <x:f>IF(COUNTA(M119:P119)=0,"",ROUND((M119*0.35)+(N119*0.20)+(O119*0.20)+(P119*0.25),2))</x:f>
      </x:c>
      <x:c r="R119" s="25"/>
      <x:c r="S119" s="28"/>
      <x:c r="T119" s="25"/>
      <x:c r="U119" s="25"/>
      <x:c r="V119" s="21"/>
      <x:c r="W119" s="21"/>
      <x:c r="X119" s="21"/>
      <x:c r="Y119" s="21"/>
      <x:c r="Z119" s="21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 t="str">
        <x:f>IF(COUNTA(M120:P120)=0,"",ROUND((M120*0.35)+(N120*0.20)+(O120*0.20)+(P120*0.25),2))</x:f>
      </x:c>
      <x:c r="R120" s="25"/>
      <x:c r="S120" s="28"/>
      <x:c r="T120" s="25"/>
      <x:c r="U120" s="25"/>
      <x:c r="V120" s="21"/>
      <x:c r="W120" s="21"/>
      <x:c r="X120" s="21"/>
      <x:c r="Y120" s="21"/>
      <x:c r="Z120" s="21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 t="str">
        <x:f>IF(COUNTA(M121:P121)=0,"",ROUND((M121*0.35)+(N121*0.20)+(O121*0.20)+(P121*0.25),2))</x:f>
      </x:c>
      <x:c r="R121" s="25"/>
      <x:c r="S121" s="28"/>
      <x:c r="T121" s="25"/>
      <x:c r="U121" s="25"/>
      <x:c r="V121" s="21"/>
      <x:c r="W121" s="21"/>
      <x:c r="X121" s="21"/>
      <x:c r="Y121" s="21"/>
      <x:c r="Z121" s="21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 t="str">
        <x:f>IF(COUNTA(M122:P122)=0,"",ROUND((M122*0.35)+(N122*0.20)+(O122*0.20)+(P122*0.25),2))</x:f>
      </x:c>
      <x:c r="R122" s="25"/>
      <x:c r="S122" s="28"/>
      <x:c r="T122" s="25"/>
      <x:c r="U122" s="25"/>
      <x:c r="V122" s="21"/>
      <x:c r="W122" s="21"/>
      <x:c r="X122" s="21"/>
      <x:c r="Y122" s="21"/>
      <x:c r="Z122" s="21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 t="str">
        <x:f>IF(COUNTA(M123:P123)=0,"",ROUND((M123*0.35)+(N123*0.20)+(O123*0.20)+(P123*0.25),2))</x:f>
      </x:c>
      <x:c r="R123" s="25"/>
      <x:c r="S123" s="28"/>
      <x:c r="T123" s="25"/>
      <x:c r="U123" s="25"/>
      <x:c r="V123" s="21"/>
      <x:c r="W123" s="21"/>
      <x:c r="X123" s="21"/>
      <x:c r="Y123" s="21"/>
      <x:c r="Z123" s="21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 t="str">
        <x:f>IF(COUNTA(M124:P124)=0,"",ROUND((M124*0.35)+(N124*0.20)+(O124*0.20)+(P124*0.25),2))</x:f>
      </x:c>
      <x:c r="R124" s="25"/>
      <x:c r="S124" s="28"/>
      <x:c r="T124" s="25"/>
      <x:c r="U124" s="25"/>
      <x:c r="V124" s="21"/>
      <x:c r="W124" s="21"/>
      <x:c r="X124" s="21"/>
      <x:c r="Y124" s="21"/>
      <x:c r="Z124" s="21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 t="str">
        <x:f>IF(COUNTA(M125:P125)=0,"",ROUND((M125*0.35)+(N125*0.20)+(O125*0.20)+(P125*0.25),2))</x:f>
      </x:c>
      <x:c r="R125" s="25"/>
      <x:c r="S125" s="28"/>
      <x:c r="T125" s="25"/>
      <x:c r="U125" s="25"/>
      <x:c r="V125" s="21"/>
      <x:c r="W125" s="21"/>
      <x:c r="X125" s="21"/>
      <x:c r="Y125" s="21"/>
      <x:c r="Z125" s="21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 t="str">
        <x:f>IF(COUNTA(M126:P126)=0,"",ROUND((M126*0.35)+(N126*0.20)+(O126*0.20)+(P126*0.25),2))</x:f>
      </x:c>
      <x:c r="R126" s="25"/>
      <x:c r="S126" s="28"/>
      <x:c r="T126" s="25"/>
      <x:c r="U126" s="25"/>
      <x:c r="V126" s="21"/>
      <x:c r="W126" s="21"/>
      <x:c r="X126" s="21"/>
      <x:c r="Y126" s="21"/>
      <x:c r="Z126" s="21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 t="str">
        <x:f>IF(COUNTA(M127:P127)=0,"",ROUND((M127*0.35)+(N127*0.20)+(O127*0.20)+(P127*0.25),2))</x:f>
      </x:c>
      <x:c r="R127" s="25"/>
      <x:c r="S127" s="28"/>
      <x:c r="T127" s="25"/>
      <x:c r="U127" s="25"/>
      <x:c r="V127" s="21"/>
      <x:c r="W127" s="21"/>
      <x:c r="X127" s="21"/>
      <x:c r="Y127" s="21"/>
      <x:c r="Z127" s="21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 t="str">
        <x:f>IF(COUNTA(M128:P128)=0,"",ROUND((M128*0.35)+(N128*0.20)+(O128*0.20)+(P128*0.25),2))</x:f>
      </x:c>
      <x:c r="R128" s="25"/>
      <x:c r="S128" s="28"/>
      <x:c r="T128" s="25"/>
      <x:c r="U128" s="25"/>
      <x:c r="V128" s="21"/>
      <x:c r="W128" s="21"/>
      <x:c r="X128" s="21"/>
      <x:c r="Y128" s="21"/>
      <x:c r="Z128" s="21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 t="str">
        <x:f>IF(COUNTA(M129:P129)=0,"",ROUND((M129*0.35)+(N129*0.20)+(O129*0.20)+(P129*0.25),2))</x:f>
      </x:c>
      <x:c r="R129" s="25"/>
      <x:c r="S129" s="28"/>
      <x:c r="T129" s="25"/>
      <x:c r="U129" s="25"/>
      <x:c r="V129" s="21"/>
      <x:c r="W129" s="21"/>
      <x:c r="X129" s="21"/>
      <x:c r="Y129" s="21"/>
      <x:c r="Z129" s="21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 t="str">
        <x:f>IF(COUNTA(M130:P130)=0,"",ROUND((M130*0.35)+(N130*0.20)+(O130*0.20)+(P130*0.25),2))</x:f>
      </x:c>
      <x:c r="R130" s="25"/>
      <x:c r="S130" s="28"/>
      <x:c r="T130" s="25"/>
      <x:c r="U130" s="25"/>
      <x:c r="V130" s="21"/>
      <x:c r="W130" s="21"/>
      <x:c r="X130" s="21"/>
      <x:c r="Y130" s="21"/>
      <x:c r="Z130" s="21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 t="str">
        <x:f>IF(COUNTA(M131:P131)=0,"",ROUND((M131*0.35)+(N131*0.20)+(O131*0.20)+(P131*0.25),2))</x:f>
      </x:c>
      <x:c r="R131" s="25"/>
      <x:c r="S131" s="28"/>
      <x:c r="T131" s="25"/>
      <x:c r="U131" s="25"/>
      <x:c r="V131" s="21"/>
      <x:c r="W131" s="21"/>
      <x:c r="X131" s="21"/>
      <x:c r="Y131" s="21"/>
      <x:c r="Z131" s="21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 t="str">
        <x:f>IF(COUNTA(M132:P132)=0,"",ROUND((M132*0.35)+(N132*0.20)+(O132*0.20)+(P132*0.25),2))</x:f>
      </x:c>
      <x:c r="R132" s="25"/>
      <x:c r="S132" s="28"/>
      <x:c r="T132" s="25"/>
      <x:c r="U132" s="25"/>
      <x:c r="V132" s="21"/>
      <x:c r="W132" s="21"/>
      <x:c r="X132" s="21"/>
      <x:c r="Y132" s="21"/>
      <x:c r="Z132" s="21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 t="str">
        <x:f>IF(COUNTA(M133:P133)=0,"",ROUND((M133*0.35)+(N133*0.20)+(O133*0.20)+(P133*0.25),2))</x:f>
      </x:c>
      <x:c r="R133" s="25"/>
      <x:c r="S133" s="28"/>
      <x:c r="T133" s="25"/>
      <x:c r="U133" s="25"/>
      <x:c r="V133" s="21"/>
      <x:c r="W133" s="21"/>
      <x:c r="X133" s="21"/>
      <x:c r="Y133" s="21"/>
      <x:c r="Z133" s="21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 t="str">
        <x:f>IF(COUNTA(M134:P134)=0,"",ROUND((M134*0.35)+(N134*0.20)+(O134*0.20)+(P134*0.25),2))</x:f>
      </x:c>
      <x:c r="R134" s="25"/>
      <x:c r="S134" s="28"/>
      <x:c r="T134" s="25"/>
      <x:c r="U134" s="25"/>
      <x:c r="V134" s="21"/>
      <x:c r="W134" s="21"/>
      <x:c r="X134" s="21"/>
      <x:c r="Y134" s="21"/>
      <x:c r="Z134" s="21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 t="str">
        <x:f>IF(COUNTA(M135:P135)=0,"",ROUND((M135*0.35)+(N135*0.20)+(O135*0.20)+(P135*0.25),2))</x:f>
      </x:c>
      <x:c r="R135" s="25"/>
      <x:c r="S135" s="28"/>
      <x:c r="T135" s="25"/>
      <x:c r="U135" s="25"/>
      <x:c r="V135" s="21"/>
      <x:c r="W135" s="21"/>
      <x:c r="X135" s="21"/>
      <x:c r="Y135" s="21"/>
      <x:c r="Z135" s="21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 t="str">
        <x:f>IF(COUNTA(M136:P136)=0,"",ROUND((M136*0.35)+(N136*0.20)+(O136*0.20)+(P136*0.25),2))</x:f>
      </x:c>
      <x:c r="R136" s="25"/>
      <x:c r="S136" s="28"/>
      <x:c r="T136" s="25"/>
      <x:c r="U136" s="25"/>
      <x:c r="V136" s="21"/>
      <x:c r="W136" s="21"/>
      <x:c r="X136" s="21"/>
      <x:c r="Y136" s="21"/>
      <x:c r="Z136" s="21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 t="str">
        <x:f>IF(COUNTA(M137:P137)=0,"",ROUND((M137*0.35)+(N137*0.20)+(O137*0.20)+(P137*0.25),2))</x:f>
      </x:c>
      <x:c r="R137" s="25"/>
      <x:c r="S137" s="28"/>
      <x:c r="T137" s="25"/>
      <x:c r="U137" s="25"/>
      <x:c r="V137" s="21"/>
      <x:c r="W137" s="21"/>
      <x:c r="X137" s="21"/>
      <x:c r="Y137" s="21"/>
      <x:c r="Z137" s="21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 t="str">
        <x:f>IF(COUNTA(M138:P138)=0,"",ROUND((M138*0.35)+(N138*0.20)+(O138*0.20)+(P138*0.25),2))</x:f>
      </x:c>
      <x:c r="R138" s="25"/>
      <x:c r="S138" s="28"/>
      <x:c r="T138" s="25"/>
      <x:c r="U138" s="25"/>
      <x:c r="V138" s="21"/>
      <x:c r="W138" s="21"/>
      <x:c r="X138" s="21"/>
      <x:c r="Y138" s="21"/>
      <x:c r="Z138" s="21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 t="str">
        <x:f>IF(COUNTA(M139:P139)=0,"",ROUND((M139*0.35)+(N139*0.20)+(O139*0.20)+(P139*0.25),2))</x:f>
      </x:c>
      <x:c r="R139" s="25"/>
      <x:c r="S139" s="28"/>
      <x:c r="T139" s="25"/>
      <x:c r="U139" s="25"/>
      <x:c r="V139" s="21"/>
      <x:c r="W139" s="21"/>
      <x:c r="X139" s="21"/>
      <x:c r="Y139" s="21"/>
      <x:c r="Z139" s="21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 t="str">
        <x:f>IF(COUNTA(M140:P140)=0,"",ROUND((M140*0.35)+(N140*0.20)+(O140*0.20)+(P140*0.25),2))</x:f>
      </x:c>
      <x:c r="R140" s="25"/>
      <x:c r="S140" s="28"/>
      <x:c r="T140" s="25"/>
      <x:c r="U140" s="25"/>
      <x:c r="V140" s="21"/>
      <x:c r="W140" s="21"/>
      <x:c r="X140" s="21"/>
      <x:c r="Y140" s="21"/>
      <x:c r="Z140" s="21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 t="str">
        <x:f>IF(COUNTA(M141:P141)=0,"",ROUND((M141*0.35)+(N141*0.20)+(O141*0.20)+(P141*0.25),2))</x:f>
      </x:c>
      <x:c r="R141" s="25"/>
      <x:c r="S141" s="28"/>
      <x:c r="T141" s="25"/>
      <x:c r="U141" s="25"/>
      <x:c r="V141" s="21"/>
      <x:c r="W141" s="21"/>
      <x:c r="X141" s="21"/>
      <x:c r="Y141" s="21"/>
      <x:c r="Z141" s="21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 t="str">
        <x:f>IF(COUNTA(M142:P142)=0,"",ROUND((M142*0.35)+(N142*0.20)+(O142*0.20)+(P142*0.25),2))</x:f>
      </x:c>
      <x:c r="R142" s="25"/>
      <x:c r="S142" s="28"/>
      <x:c r="T142" s="25"/>
      <x:c r="U142" s="25"/>
      <x:c r="V142" s="21"/>
      <x:c r="W142" s="21"/>
      <x:c r="X142" s="21"/>
      <x:c r="Y142" s="21"/>
      <x:c r="Z142" s="21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 t="str">
        <x:f>IF(COUNTA(M143:P143)=0,"",ROUND((M143*0.35)+(N143*0.20)+(O143*0.20)+(P143*0.25),2))</x:f>
      </x:c>
      <x:c r="R143" s="25"/>
      <x:c r="S143" s="28"/>
      <x:c r="T143" s="25"/>
      <x:c r="U143" s="25"/>
      <x:c r="V143" s="21"/>
      <x:c r="W143" s="21"/>
      <x:c r="X143" s="21"/>
      <x:c r="Y143" s="21"/>
      <x:c r="Z143" s="21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 t="str">
        <x:f>IF(COUNTA(M144:P144)=0,"",ROUND((M144*0.35)+(N144*0.20)+(O144*0.20)+(P144*0.25),2))</x:f>
      </x:c>
      <x:c r="R144" s="25"/>
      <x:c r="S144" s="28"/>
      <x:c r="T144" s="25"/>
      <x:c r="U144" s="25"/>
      <x:c r="V144" s="21"/>
      <x:c r="W144" s="21"/>
      <x:c r="X144" s="21"/>
      <x:c r="Y144" s="21"/>
      <x:c r="Z144" s="21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 t="str">
        <x:f>IF(COUNTA(M145:P145)=0,"",ROUND((M145*0.35)+(N145*0.20)+(O145*0.20)+(P145*0.25),2))</x:f>
      </x:c>
      <x:c r="R145" s="25"/>
      <x:c r="S145" s="28"/>
      <x:c r="T145" s="25"/>
      <x:c r="U145" s="25"/>
      <x:c r="V145" s="21"/>
      <x:c r="W145" s="21"/>
      <x:c r="X145" s="21"/>
      <x:c r="Y145" s="21"/>
      <x:c r="Z145" s="21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 t="str">
        <x:f>IF(COUNTA(M146:P146)=0,"",ROUND((M146*0.35)+(N146*0.20)+(O146*0.20)+(P146*0.25),2))</x:f>
      </x:c>
      <x:c r="R146" s="25"/>
      <x:c r="S146" s="28"/>
      <x:c r="T146" s="25"/>
      <x:c r="U146" s="25"/>
      <x:c r="V146" s="21"/>
      <x:c r="W146" s="21"/>
      <x:c r="X146" s="21"/>
      <x:c r="Y146" s="21"/>
      <x:c r="Z146" s="21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 t="str">
        <x:f>IF(COUNTA(M147:P147)=0,"",ROUND((M147*0.35)+(N147*0.20)+(O147*0.20)+(P147*0.25),2))</x:f>
      </x:c>
      <x:c r="R147" s="25"/>
      <x:c r="S147" s="28"/>
      <x:c r="T147" s="25"/>
      <x:c r="U147" s="25"/>
      <x:c r="V147" s="21"/>
      <x:c r="W147" s="21"/>
      <x:c r="X147" s="21"/>
      <x:c r="Y147" s="21"/>
      <x:c r="Z147" s="21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 t="str">
        <x:f>IF(COUNTA(M148:P148)=0,"",ROUND((M148*0.35)+(N148*0.20)+(O148*0.20)+(P148*0.25),2))</x:f>
      </x:c>
      <x:c r="R148" s="25"/>
      <x:c r="S148" s="28"/>
      <x:c r="T148" s="25"/>
      <x:c r="U148" s="25"/>
      <x:c r="V148" s="21"/>
      <x:c r="W148" s="21"/>
      <x:c r="X148" s="21"/>
      <x:c r="Y148" s="21"/>
      <x:c r="Z148" s="21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 t="str">
        <x:f>IF(COUNTA(M149:P149)=0,"",ROUND((M149*0.35)+(N149*0.20)+(O149*0.20)+(P149*0.25),2))</x:f>
      </x:c>
      <x:c r="R149" s="25"/>
      <x:c r="S149" s="28"/>
      <x:c r="T149" s="25"/>
      <x:c r="U149" s="25"/>
      <x:c r="V149" s="21"/>
      <x:c r="W149" s="21"/>
      <x:c r="X149" s="21"/>
      <x:c r="Y149" s="21"/>
      <x:c r="Z149" s="21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 t="str">
        <x:f>IF(COUNTA(M150:P150)=0,"",ROUND((M150*0.35)+(N150*0.20)+(O150*0.20)+(P150*0.25),2))</x:f>
      </x:c>
      <x:c r="R150" s="25"/>
      <x:c r="S150" s="28"/>
      <x:c r="T150" s="25"/>
      <x:c r="U150" s="25"/>
      <x:c r="V150" s="21"/>
      <x:c r="W150" s="21"/>
      <x:c r="X150" s="21"/>
      <x:c r="Y150" s="21"/>
      <x:c r="Z150" s="21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 t="str">
        <x:f>IF(COUNTA(M151:P151)=0,"",ROUND((M151*0.35)+(N151*0.20)+(O151*0.20)+(P151*0.25),2))</x:f>
      </x:c>
      <x:c r="R151" s="25"/>
      <x:c r="S151" s="28"/>
      <x:c r="T151" s="25"/>
      <x:c r="U151" s="25"/>
      <x:c r="V151" s="21"/>
      <x:c r="W151" s="21"/>
      <x:c r="X151" s="21"/>
      <x:c r="Y151" s="21"/>
      <x:c r="Z151" s="21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 t="str">
        <x:f>IF(COUNTA(M152:P152)=0,"",ROUND((M152*0.35)+(N152*0.20)+(O152*0.20)+(P152*0.25),2))</x:f>
      </x:c>
      <x:c r="R152" s="25"/>
      <x:c r="S152" s="28"/>
      <x:c r="T152" s="25"/>
      <x:c r="U152" s="25"/>
      <x:c r="V152" s="21"/>
      <x:c r="W152" s="21"/>
      <x:c r="X152" s="21"/>
      <x:c r="Y152" s="21"/>
      <x:c r="Z152" s="21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 t="str">
        <x:f>IF(COUNTA(M153:P153)=0,"",ROUND((M153*0.35)+(N153*0.20)+(O153*0.20)+(P153*0.25),2))</x:f>
      </x:c>
      <x:c r="R153" s="25"/>
      <x:c r="S153" s="28"/>
      <x:c r="T153" s="25"/>
      <x:c r="U153" s="25"/>
      <x:c r="V153" s="21"/>
      <x:c r="W153" s="21"/>
      <x:c r="X153" s="21"/>
      <x:c r="Y153" s="21"/>
      <x:c r="Z153" s="21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 t="str">
        <x:f>IF(COUNTA(M154:P154)=0,"",ROUND((M154*0.35)+(N154*0.20)+(O154*0.20)+(P154*0.25),2))</x:f>
      </x:c>
      <x:c r="R154" s="25"/>
      <x:c r="S154" s="28"/>
      <x:c r="T154" s="25"/>
      <x:c r="U154" s="25"/>
      <x:c r="V154" s="21"/>
      <x:c r="W154" s="21"/>
      <x:c r="X154" s="21"/>
      <x:c r="Y154" s="21"/>
      <x:c r="Z154" s="21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 t="str">
        <x:f>IF(COUNTA(M155:P155)=0,"",ROUND((M155*0.35)+(N155*0.20)+(O155*0.20)+(P155*0.25),2))</x:f>
      </x:c>
      <x:c r="R155" s="25"/>
      <x:c r="S155" s="28"/>
      <x:c r="T155" s="25"/>
      <x:c r="U155" s="25"/>
      <x:c r="V155" s="21"/>
      <x:c r="W155" s="21"/>
      <x:c r="X155" s="21"/>
      <x:c r="Y155" s="21"/>
      <x:c r="Z155" s="21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 t="str">
        <x:f>IF(COUNTA(M156:P156)=0,"",ROUND((M156*0.35)+(N156*0.20)+(O156*0.20)+(P156*0.25),2))</x:f>
      </x:c>
      <x:c r="R156" s="25"/>
      <x:c r="S156" s="28"/>
      <x:c r="T156" s="25"/>
      <x:c r="U156" s="25"/>
      <x:c r="V156" s="21"/>
      <x:c r="W156" s="21"/>
      <x:c r="X156" s="21"/>
      <x:c r="Y156" s="21"/>
      <x:c r="Z156" s="21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 t="str">
        <x:f>IF(COUNTA(M157:P157)=0,"",ROUND((M157*0.35)+(N157*0.20)+(O157*0.20)+(P157*0.25),2))</x:f>
      </x:c>
      <x:c r="R157" s="25"/>
      <x:c r="S157" s="28"/>
      <x:c r="T157" s="25"/>
      <x:c r="U157" s="25"/>
      <x:c r="V157" s="21"/>
      <x:c r="W157" s="21"/>
      <x:c r="X157" s="21"/>
      <x:c r="Y157" s="21"/>
      <x:c r="Z157" s="21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 t="str">
        <x:f>IF(COUNTA(M158:P158)=0,"",ROUND((M158*0.35)+(N158*0.20)+(O158*0.20)+(P158*0.25),2))</x:f>
      </x:c>
      <x:c r="R158" s="25"/>
      <x:c r="S158" s="28"/>
      <x:c r="T158" s="25"/>
      <x:c r="U158" s="25"/>
      <x:c r="V158" s="21"/>
      <x:c r="W158" s="21"/>
      <x:c r="X158" s="21"/>
      <x:c r="Y158" s="21"/>
      <x:c r="Z158" s="21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 t="str">
        <x:f>IF(COUNTA(M159:P159)=0,"",ROUND((M159*0.35)+(N159*0.20)+(O159*0.20)+(P159*0.25),2))</x:f>
      </x:c>
      <x:c r="R159" s="25"/>
      <x:c r="S159" s="28"/>
      <x:c r="T159" s="25"/>
      <x:c r="U159" s="25"/>
      <x:c r="V159" s="21"/>
      <x:c r="W159" s="21"/>
      <x:c r="X159" s="21"/>
      <x:c r="Y159" s="21"/>
      <x:c r="Z159" s="21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 t="str">
        <x:f>IF(COUNTA(M160:P160)=0,"",ROUND((M160*0.35)+(N160*0.20)+(O160*0.20)+(P160*0.25),2))</x:f>
      </x:c>
      <x:c r="R160" s="25"/>
      <x:c r="S160" s="28"/>
      <x:c r="T160" s="25"/>
      <x:c r="U160" s="25"/>
      <x:c r="V160" s="21"/>
      <x:c r="W160" s="21"/>
      <x:c r="X160" s="21"/>
      <x:c r="Y160" s="21"/>
      <x:c r="Z160" s="21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 t="str">
        <x:f>IF(COUNTA(M161:P161)=0,"",ROUND((M161*0.35)+(N161*0.20)+(O161*0.20)+(P161*0.25),2))</x:f>
      </x:c>
      <x:c r="R161" s="25"/>
      <x:c r="S161" s="28"/>
      <x:c r="T161" s="25"/>
      <x:c r="U161" s="25"/>
      <x:c r="V161" s="21"/>
      <x:c r="W161" s="21"/>
      <x:c r="X161" s="21"/>
      <x:c r="Y161" s="21"/>
      <x:c r="Z161" s="21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 t="str">
        <x:f>IF(COUNTA(M162:P162)=0,"",ROUND((M162*0.35)+(N162*0.20)+(O162*0.20)+(P162*0.25),2))</x:f>
      </x:c>
      <x:c r="R162" s="25"/>
      <x:c r="S162" s="28"/>
      <x:c r="T162" s="25"/>
      <x:c r="U162" s="25"/>
      <x:c r="V162" s="21"/>
      <x:c r="W162" s="21"/>
      <x:c r="X162" s="21"/>
      <x:c r="Y162" s="21"/>
      <x:c r="Z162" s="21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 t="str">
        <x:f>IF(COUNTA(M163:P163)=0,"",ROUND((M163*0.35)+(N163*0.20)+(O163*0.20)+(P163*0.25),2))</x:f>
      </x:c>
      <x:c r="R163" s="25"/>
      <x:c r="S163" s="28"/>
      <x:c r="T163" s="25"/>
      <x:c r="U163" s="25"/>
      <x:c r="V163" s="21"/>
      <x:c r="W163" s="21"/>
      <x:c r="X163" s="21"/>
      <x:c r="Y163" s="21"/>
      <x:c r="Z163" s="21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 t="str">
        <x:f>IF(COUNTA(M164:P164)=0,"",ROUND((M164*0.35)+(N164*0.20)+(O164*0.20)+(P164*0.25),2))</x:f>
      </x:c>
      <x:c r="R164" s="25"/>
      <x:c r="S164" s="28"/>
      <x:c r="T164" s="25"/>
      <x:c r="U164" s="25"/>
      <x:c r="V164" s="21"/>
      <x:c r="W164" s="21"/>
      <x:c r="X164" s="21"/>
      <x:c r="Y164" s="21"/>
      <x:c r="Z164" s="21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 t="str">
        <x:f>IF(COUNTA(M165:P165)=0,"",ROUND((M165*0.35)+(N165*0.20)+(O165*0.20)+(P165*0.25),2))</x:f>
      </x:c>
      <x:c r="R165" s="25"/>
      <x:c r="S165" s="28"/>
      <x:c r="T165" s="25"/>
      <x:c r="U165" s="25"/>
      <x:c r="V165" s="21"/>
      <x:c r="W165" s="21"/>
      <x:c r="X165" s="21"/>
      <x:c r="Y165" s="21"/>
      <x:c r="Z165" s="21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 t="str">
        <x:f>IF(COUNTA(M166:P166)=0,"",ROUND((M166*0.35)+(N166*0.20)+(O166*0.20)+(P166*0.25),2))</x:f>
      </x:c>
      <x:c r="R166" s="25"/>
      <x:c r="S166" s="28"/>
      <x:c r="T166" s="25"/>
      <x:c r="U166" s="25"/>
      <x:c r="V166" s="21"/>
      <x:c r="W166" s="21"/>
      <x:c r="X166" s="21"/>
      <x:c r="Y166" s="21"/>
      <x:c r="Z166" s="21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 t="str">
        <x:f>IF(COUNTA(M167:P167)=0,"",ROUND((M167*0.35)+(N167*0.20)+(O167*0.20)+(P167*0.25),2))</x:f>
      </x:c>
      <x:c r="R167" s="25"/>
      <x:c r="S167" s="28"/>
      <x:c r="T167" s="25"/>
      <x:c r="U167" s="25"/>
      <x:c r="V167" s="21"/>
      <x:c r="W167" s="21"/>
      <x:c r="X167" s="21"/>
      <x:c r="Y167" s="21"/>
      <x:c r="Z167" s="21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 t="str">
        <x:f>IF(COUNTA(M168:P168)=0,"",ROUND((M168*0.35)+(N168*0.20)+(O168*0.20)+(P168*0.25),2))</x:f>
      </x:c>
      <x:c r="R168" s="25"/>
      <x:c r="S168" s="28"/>
      <x:c r="T168" s="25"/>
      <x:c r="U168" s="25"/>
      <x:c r="V168" s="21"/>
      <x:c r="W168" s="21"/>
      <x:c r="X168" s="21"/>
      <x:c r="Y168" s="21"/>
      <x:c r="Z168" s="21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 t="str">
        <x:f>IF(COUNTA(M169:P169)=0,"",ROUND((M169*0.35)+(N169*0.20)+(O169*0.20)+(P169*0.25),2))</x:f>
      </x:c>
      <x:c r="R169" s="25"/>
      <x:c r="S169" s="28"/>
      <x:c r="T169" s="25"/>
      <x:c r="U169" s="25"/>
      <x:c r="V169" s="21"/>
      <x:c r="W169" s="21"/>
      <x:c r="X169" s="21"/>
      <x:c r="Y169" s="21"/>
      <x:c r="Z169" s="21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 t="str">
        <x:f>IF(COUNTA(M170:P170)=0,"",ROUND((M170*0.35)+(N170*0.20)+(O170*0.20)+(P170*0.25),2))</x:f>
      </x:c>
      <x:c r="R170" s="25"/>
      <x:c r="S170" s="28"/>
      <x:c r="T170" s="25"/>
      <x:c r="U170" s="25"/>
      <x:c r="V170" s="21"/>
      <x:c r="W170" s="21"/>
      <x:c r="X170" s="21"/>
      <x:c r="Y170" s="21"/>
      <x:c r="Z170" s="21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 t="str">
        <x:f>IF(COUNTA(M171:P171)=0,"",ROUND((M171*0.35)+(N171*0.20)+(O171*0.20)+(P171*0.25),2))</x:f>
      </x:c>
      <x:c r="R171" s="25"/>
      <x:c r="S171" s="28"/>
      <x:c r="T171" s="25"/>
      <x:c r="U171" s="25"/>
      <x:c r="V171" s="21"/>
      <x:c r="W171" s="21"/>
      <x:c r="X171" s="21"/>
      <x:c r="Y171" s="21"/>
      <x:c r="Z171" s="21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 t="str">
        <x:f>IF(COUNTA(M172:P172)=0,"",ROUND((M172*0.35)+(N172*0.20)+(O172*0.20)+(P172*0.25),2))</x:f>
      </x:c>
      <x:c r="R172" s="25"/>
      <x:c r="S172" s="28"/>
      <x:c r="T172" s="25"/>
      <x:c r="U172" s="25"/>
      <x:c r="V172" s="21"/>
      <x:c r="W172" s="21"/>
      <x:c r="X172" s="21"/>
      <x:c r="Y172" s="21"/>
      <x:c r="Z172" s="21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 t="str">
        <x:f>IF(COUNTA(M173:P173)=0,"",ROUND((M173*0.35)+(N173*0.20)+(O173*0.20)+(P173*0.25),2))</x:f>
      </x:c>
      <x:c r="R173" s="25"/>
      <x:c r="S173" s="28"/>
      <x:c r="T173" s="25"/>
      <x:c r="U173" s="25"/>
      <x:c r="V173" s="21"/>
      <x:c r="W173" s="21"/>
      <x:c r="X173" s="21"/>
      <x:c r="Y173" s="21"/>
      <x:c r="Z173" s="21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 t="str">
        <x:f>IF(COUNTA(M174:P174)=0,"",ROUND((M174*0.35)+(N174*0.20)+(O174*0.20)+(P174*0.25),2))</x:f>
      </x:c>
      <x:c r="R174" s="25"/>
      <x:c r="S174" s="28"/>
      <x:c r="T174" s="25"/>
      <x:c r="U174" s="25"/>
      <x:c r="V174" s="21"/>
      <x:c r="W174" s="21"/>
      <x:c r="X174" s="21"/>
      <x:c r="Y174" s="21"/>
      <x:c r="Z174" s="21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 t="str">
        <x:f>IF(COUNTA(M175:P175)=0,"",ROUND((M175*0.35)+(N175*0.20)+(O175*0.20)+(P175*0.25),2))</x:f>
      </x:c>
      <x:c r="R175" s="25"/>
      <x:c r="S175" s="28"/>
      <x:c r="T175" s="25"/>
      <x:c r="U175" s="25"/>
      <x:c r="V175" s="21"/>
      <x:c r="W175" s="21"/>
      <x:c r="X175" s="21"/>
      <x:c r="Y175" s="21"/>
      <x:c r="Z175" s="21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 t="str">
        <x:f>IF(COUNTA(M176:P176)=0,"",ROUND((M176*0.35)+(N176*0.20)+(O176*0.20)+(P176*0.25),2))</x:f>
      </x:c>
      <x:c r="R176" s="25"/>
      <x:c r="S176" s="28"/>
      <x:c r="T176" s="25"/>
      <x:c r="U176" s="25"/>
      <x:c r="V176" s="21"/>
      <x:c r="W176" s="21"/>
      <x:c r="X176" s="21"/>
      <x:c r="Y176" s="21"/>
      <x:c r="Z176" s="21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 t="str">
        <x:f>IF(COUNTA(M177:P177)=0,"",ROUND((M177*0.35)+(N177*0.20)+(O177*0.20)+(P177*0.25),2))</x:f>
      </x:c>
      <x:c r="R177" s="25"/>
      <x:c r="S177" s="28"/>
      <x:c r="T177" s="25"/>
      <x:c r="U177" s="25"/>
      <x:c r="V177" s="21"/>
      <x:c r="W177" s="21"/>
      <x:c r="X177" s="21"/>
      <x:c r="Y177" s="21"/>
      <x:c r="Z177" s="21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 t="str">
        <x:f>IF(COUNTA(M178:P178)=0,"",ROUND((M178*0.35)+(N178*0.20)+(O178*0.20)+(P178*0.25),2))</x:f>
      </x:c>
      <x:c r="R178" s="25"/>
      <x:c r="S178" s="28"/>
      <x:c r="T178" s="25"/>
      <x:c r="U178" s="25"/>
      <x:c r="V178" s="21"/>
      <x:c r="W178" s="21"/>
      <x:c r="X178" s="21"/>
      <x:c r="Y178" s="21"/>
      <x:c r="Z178" s="21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 t="str">
        <x:f>IF(COUNTA(M179:P179)=0,"",ROUND((M179*0.35)+(N179*0.20)+(O179*0.20)+(P179*0.25),2))</x:f>
      </x:c>
      <x:c r="R179" s="25"/>
      <x:c r="S179" s="28"/>
      <x:c r="T179" s="25"/>
      <x:c r="U179" s="25"/>
      <x:c r="V179" s="21"/>
      <x:c r="W179" s="21"/>
      <x:c r="X179" s="21"/>
      <x:c r="Y179" s="21"/>
      <x:c r="Z179" s="21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 t="str">
        <x:f>IF(COUNTA(M180:P180)=0,"",ROUND((M180*0.35)+(N180*0.20)+(O180*0.20)+(P180*0.25),2))</x:f>
      </x:c>
      <x:c r="R180" s="25"/>
      <x:c r="S180" s="28"/>
      <x:c r="T180" s="25"/>
      <x:c r="U180" s="25"/>
      <x:c r="V180" s="21"/>
      <x:c r="W180" s="21"/>
      <x:c r="X180" s="21"/>
      <x:c r="Y180" s="21"/>
      <x:c r="Z180" s="21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 t="str">
        <x:f>IF(COUNTA(M181:P181)=0,"",ROUND((M181*0.35)+(N181*0.20)+(O181*0.20)+(P181*0.25),2))</x:f>
      </x:c>
      <x:c r="R181" s="25"/>
      <x:c r="S181" s="28"/>
      <x:c r="T181" s="25"/>
      <x:c r="U181" s="25"/>
      <x:c r="V181" s="21"/>
      <x:c r="W181" s="21"/>
      <x:c r="X181" s="21"/>
      <x:c r="Y181" s="21"/>
      <x:c r="Z181" s="21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 t="str">
        <x:f>IF(COUNTA(M182:P182)=0,"",ROUND((M182*0.35)+(N182*0.20)+(O182*0.20)+(P182*0.25),2))</x:f>
      </x:c>
      <x:c r="R182" s="25"/>
      <x:c r="S182" s="28"/>
      <x:c r="T182" s="25"/>
      <x:c r="U182" s="25"/>
      <x:c r="V182" s="21"/>
      <x:c r="W182" s="21"/>
      <x:c r="X182" s="21"/>
      <x:c r="Y182" s="21"/>
      <x:c r="Z182" s="21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 t="str">
        <x:f>IF(COUNTA(M183:P183)=0,"",ROUND((M183*0.35)+(N183*0.20)+(O183*0.20)+(P183*0.25),2))</x:f>
      </x:c>
      <x:c r="R183" s="25"/>
      <x:c r="S183" s="28"/>
      <x:c r="T183" s="25"/>
      <x:c r="U183" s="25"/>
      <x:c r="V183" s="21"/>
      <x:c r="W183" s="21"/>
      <x:c r="X183" s="21"/>
      <x:c r="Y183" s="21"/>
      <x:c r="Z183" s="21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 t="str">
        <x:f>IF(COUNTA(M184:P184)=0,"",ROUND((M184*0.35)+(N184*0.20)+(O184*0.20)+(P184*0.25),2))</x:f>
      </x:c>
      <x:c r="R184" s="25"/>
      <x:c r="S184" s="28"/>
      <x:c r="T184" s="25"/>
      <x:c r="U184" s="25"/>
      <x:c r="V184" s="21"/>
      <x:c r="W184" s="21"/>
      <x:c r="X184" s="21"/>
      <x:c r="Y184" s="21"/>
      <x:c r="Z184" s="21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 t="str">
        <x:f>IF(COUNTA(M185:P185)=0,"",ROUND((M185*0.35)+(N185*0.20)+(O185*0.20)+(P185*0.25),2))</x:f>
      </x:c>
      <x:c r="R185" s="25"/>
      <x:c r="S185" s="28"/>
      <x:c r="T185" s="25"/>
      <x:c r="U185" s="25"/>
      <x:c r="V185" s="21"/>
      <x:c r="W185" s="21"/>
      <x:c r="X185" s="21"/>
      <x:c r="Y185" s="21"/>
      <x:c r="Z185" s="21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 t="str">
        <x:f>IF(COUNTA(M186:P186)=0,"",ROUND((M186*0.35)+(N186*0.20)+(O186*0.20)+(P186*0.25),2))</x:f>
      </x:c>
      <x:c r="R186" s="25"/>
      <x:c r="S186" s="28"/>
      <x:c r="T186" s="25"/>
      <x:c r="U186" s="25"/>
      <x:c r="V186" s="21"/>
      <x:c r="W186" s="21"/>
      <x:c r="X186" s="21"/>
      <x:c r="Y186" s="21"/>
      <x:c r="Z186" s="21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 t="str">
        <x:f>IF(COUNTA(M187:P187)=0,"",ROUND((M187*0.35)+(N187*0.20)+(O187*0.20)+(P187*0.25),2))</x:f>
      </x:c>
      <x:c r="R187" s="25"/>
      <x:c r="S187" s="28"/>
      <x:c r="T187" s="25"/>
      <x:c r="U187" s="25"/>
      <x:c r="V187" s="21"/>
      <x:c r="W187" s="21"/>
      <x:c r="X187" s="21"/>
      <x:c r="Y187" s="21"/>
      <x:c r="Z187" s="21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 t="str">
        <x:f>IF(COUNTA(M188:P188)=0,"",ROUND((M188*0.35)+(N188*0.20)+(O188*0.20)+(P188*0.25),2))</x:f>
      </x:c>
      <x:c r="R188" s="25"/>
      <x:c r="S188" s="28"/>
      <x:c r="T188" s="25"/>
      <x:c r="U188" s="25"/>
      <x:c r="V188" s="21"/>
      <x:c r="W188" s="21"/>
      <x:c r="X188" s="21"/>
      <x:c r="Y188" s="21"/>
      <x:c r="Z188" s="21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 t="str">
        <x:f>IF(COUNTA(M189:P189)=0,"",ROUND((M189*0.35)+(N189*0.20)+(O189*0.20)+(P189*0.25),2))</x:f>
      </x:c>
      <x:c r="R189" s="25"/>
      <x:c r="S189" s="28"/>
      <x:c r="T189" s="25"/>
      <x:c r="U189" s="25"/>
      <x:c r="V189" s="21"/>
      <x:c r="W189" s="21"/>
      <x:c r="X189" s="21"/>
      <x:c r="Y189" s="21"/>
      <x:c r="Z189" s="21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 t="str">
        <x:f>IF(COUNTA(M190:P190)=0,"",ROUND((M190*0.35)+(N190*0.20)+(O190*0.20)+(P190*0.25),2))</x:f>
      </x:c>
      <x:c r="R190" s="25"/>
      <x:c r="S190" s="28"/>
      <x:c r="T190" s="25"/>
      <x:c r="U190" s="25"/>
      <x:c r="V190" s="21"/>
      <x:c r="W190" s="21"/>
      <x:c r="X190" s="21"/>
      <x:c r="Y190" s="21"/>
      <x:c r="Z190" s="21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 t="str">
        <x:f>IF(COUNTA(M191:P191)=0,"",ROUND((M191*0.35)+(N191*0.20)+(O191*0.20)+(P191*0.25),2))</x:f>
      </x:c>
      <x:c r="R191" s="25"/>
      <x:c r="S191" s="28"/>
      <x:c r="T191" s="25"/>
      <x:c r="U191" s="25"/>
      <x:c r="V191" s="21"/>
      <x:c r="W191" s="21"/>
      <x:c r="X191" s="21"/>
      <x:c r="Y191" s="21"/>
      <x:c r="Z191" s="21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 t="str">
        <x:f>IF(COUNTA(M192:P192)=0,"",ROUND((M192*0.35)+(N192*0.20)+(O192*0.20)+(P192*0.25),2))</x:f>
      </x:c>
      <x:c r="R192" s="25"/>
      <x:c r="S192" s="28"/>
      <x:c r="T192" s="25"/>
      <x:c r="U192" s="25"/>
      <x:c r="V192" s="21"/>
      <x:c r="W192" s="21"/>
      <x:c r="X192" s="21"/>
      <x:c r="Y192" s="21"/>
      <x:c r="Z192" s="21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 t="str">
        <x:f>IF(COUNTA(M193:P193)=0,"",ROUND((M193*0.35)+(N193*0.20)+(O193*0.20)+(P193*0.25),2))</x:f>
      </x:c>
      <x:c r="R193" s="25"/>
      <x:c r="S193" s="28"/>
      <x:c r="T193" s="25"/>
      <x:c r="U193" s="25"/>
      <x:c r="V193" s="21"/>
      <x:c r="W193" s="21"/>
      <x:c r="X193" s="21"/>
      <x:c r="Y193" s="21"/>
      <x:c r="Z193" s="21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 t="str">
        <x:f>IF(COUNTA(M194:P194)=0,"",ROUND((M194*0.35)+(N194*0.20)+(O194*0.20)+(P194*0.25),2))</x:f>
      </x:c>
      <x:c r="R194" s="25"/>
      <x:c r="S194" s="28"/>
      <x:c r="T194" s="25"/>
      <x:c r="U194" s="25"/>
      <x:c r="V194" s="21"/>
      <x:c r="W194" s="21"/>
      <x:c r="X194" s="21"/>
      <x:c r="Y194" s="21"/>
      <x:c r="Z194" s="21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 t="str">
        <x:f>IF(COUNTA(M195:P195)=0,"",ROUND((M195*0.35)+(N195*0.20)+(O195*0.20)+(P195*0.25),2))</x:f>
      </x:c>
      <x:c r="R195" s="25"/>
      <x:c r="S195" s="28"/>
      <x:c r="T195" s="25"/>
      <x:c r="U195" s="25"/>
      <x:c r="V195" s="21"/>
      <x:c r="W195" s="21"/>
      <x:c r="X195" s="21"/>
      <x:c r="Y195" s="21"/>
      <x:c r="Z195" s="21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 t="str">
        <x:f>IF(COUNTA(M196:P196)=0,"",ROUND((M196*0.35)+(N196*0.20)+(O196*0.20)+(P196*0.25),2))</x:f>
      </x:c>
      <x:c r="R196" s="25"/>
      <x:c r="S196" s="28"/>
      <x:c r="T196" s="25"/>
      <x:c r="U196" s="25"/>
      <x:c r="V196" s="21"/>
      <x:c r="W196" s="21"/>
      <x:c r="X196" s="21"/>
      <x:c r="Y196" s="21"/>
      <x:c r="Z196" s="21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 t="str">
        <x:f>IF(COUNTA(M197:P197)=0,"",ROUND((M197*0.35)+(N197*0.20)+(O197*0.20)+(P197*0.25),2))</x:f>
      </x:c>
      <x:c r="R197" s="25"/>
      <x:c r="S197" s="28"/>
      <x:c r="T197" s="25"/>
      <x:c r="U197" s="25"/>
      <x:c r="V197" s="21"/>
      <x:c r="W197" s="21"/>
      <x:c r="X197" s="21"/>
      <x:c r="Y197" s="21"/>
      <x:c r="Z197" s="21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 t="str">
        <x:f>IF(COUNTA(M198:P198)=0,"",ROUND((M198*0.35)+(N198*0.20)+(O198*0.20)+(P198*0.25),2))</x:f>
      </x:c>
      <x:c r="R198" s="25"/>
      <x:c r="S198" s="28"/>
      <x:c r="T198" s="25"/>
      <x:c r="U198" s="25"/>
      <x:c r="V198" s="21"/>
      <x:c r="W198" s="21"/>
      <x:c r="X198" s="21"/>
      <x:c r="Y198" s="21"/>
      <x:c r="Z198" s="21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 t="str">
        <x:f>IF(COUNTA(M199:P199)=0,"",ROUND((M199*0.35)+(N199*0.20)+(O199*0.20)+(P199*0.25),2))</x:f>
      </x:c>
      <x:c r="R199" s="25"/>
      <x:c r="S199" s="28"/>
      <x:c r="T199" s="25"/>
      <x:c r="U199" s="25"/>
      <x:c r="V199" s="21"/>
      <x:c r="W199" s="21"/>
      <x:c r="X199" s="21"/>
      <x:c r="Y199" s="21"/>
      <x:c r="Z199" s="21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 t="str">
        <x:f>IF(COUNTA(M200:P200)=0,"",ROUND((M200*0.35)+(N200*0.20)+(O200*0.20)+(P200*0.25),2))</x:f>
      </x:c>
      <x:c r="R200" s="25"/>
      <x:c r="S200" s="28"/>
      <x:c r="T200" s="25"/>
      <x:c r="U200" s="25"/>
      <x:c r="V200" s="21"/>
      <x:c r="W200" s="21"/>
      <x:c r="X200" s="21"/>
      <x:c r="Y200" s="21"/>
      <x:c r="Z200" s="21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 t="str">
        <x:f>IF(COUNTA(M201:P201)=0,"",ROUND((M201*0.35)+(N201*0.20)+(O201*0.20)+(P201*0.25),2))</x:f>
      </x:c>
      <x:c r="R201" s="25"/>
      <x:c r="S201" s="28"/>
      <x:c r="T201" s="25"/>
      <x:c r="U201" s="25"/>
      <x:c r="V201" s="21"/>
      <x:c r="W201" s="21"/>
      <x:c r="X201" s="21"/>
      <x:c r="Y201" s="21"/>
      <x:c r="Z201" s="21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25"/>
      <x:c r="Q202" s="25" t="str">
        <x:f>IF(COUNTA(M202:P202)=0,"",ROUND((M202*0.35)+(N202*0.20)+(O202*0.20)+(P202*0.25),2))</x:f>
      </x:c>
      <x:c r="R202" s="25"/>
      <x:c r="S202" s="28"/>
      <x:c r="T202" s="25"/>
      <x:c r="U202" s="25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U1"/>
  </x:mergeCells>
  <x:conditionalFormatting sqref="Q3:Q20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D3:D202">
    <x:cfRule type="expression" dxfId="5" priority="2">
      <x:formula>D3="A"</x:formula>
    </x:cfRule>
    <x:cfRule type="expression" dxfId="6" priority="3">
      <x:formula>D3="Watchlist"</x:formula>
    </x:cfRule>
  </x:conditionalFormatting>
  <x:dataValidations count="4">
    <x:dataValidation type="list" sqref="D3:D202">
      <x:formula1>"A,B,C,Watchlist,Reject"</x:formula1>
    </x:dataValidation>
    <x:dataValidation type="list" sqref="H3:H202">
      <x:formula1>"Worldwide,LATAM,US-only,EU-only,Hybrid,On-site,Unknown"</x:formula1>
    </x:dataValidation>
    <x:dataValidation type="list" sqref="I3:I202">
      <x:formula1>"High,Medium,Low,Unknown"</x:formula1>
    </x:dataValidation>
    <x:dataValidation type="whole" operator="between" sqref="M3:P202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abba36f965b43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30" hidden="0" customWidth="1"/>
    <x:col min="8" max="8" width="18" hidden="0" customWidth="1"/>
    <x:col min="9" max="9" width="12" hidden="0" customWidth="1"/>
    <x:col min="10" max="10" width="18" hidden="0" customWidth="1"/>
    <x:col min="11" max="11" width="14" hidden="0" customWidth="1"/>
    <x:col min="12" max="12" width="14" hidden="0" customWidth="1"/>
    <x:col min="13" max="13" width="24" hidden="0" customWidth="1"/>
    <x:col min="14" max="14" width="20" hidden="0" customWidth="1"/>
    <x:col min="15" max="15" width="40" hidden="0" customWidth="1"/>
  </x:cols>
  <x:sheetData>
    <x:row r="1" ht="28" customHeight="1">
      <x:c r="A1" s="20" t="str">
        <x:v>Contacts &amp; Outreach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Contact ID</x:v>
      </x:c>
      <x:c r="B2" s="24" t="str">
        <x:v>Date Added</x:v>
      </x:c>
      <x:c r="C2" s="24" t="str">
        <x:v>Name</x:v>
      </x:c>
      <x:c r="D2" s="24" t="str">
        <x:v>Company</x:v>
      </x:c>
      <x:c r="E2" s="24" t="str">
        <x:v>Role</x:v>
      </x:c>
      <x:c r="F2" s="24" t="str">
        <x:v>Channel</x:v>
      </x:c>
      <x:c r="G2" s="24" t="str">
        <x:v>LinkedIn / Email</x:v>
      </x:c>
      <x:c r="H2" s="24" t="str">
        <x:v>Category</x:v>
      </x:c>
      <x:c r="I2" s="24" t="str">
        <x:v>Priority</x:v>
      </x:c>
      <x:c r="J2" s="24" t="str">
        <x:v>Status</x:v>
      </x:c>
      <x:c r="K2" s="24" t="str">
        <x:v>Last Contact</x:v>
      </x:c>
      <x:c r="L2" s="24" t="str">
        <x:v>Next Follow-up</x:v>
      </x:c>
      <x:c r="M2" s="24" t="str">
        <x:v>Message Template</x:v>
      </x:c>
      <x:c r="N2" s="24" t="str">
        <x:v>Response</x:v>
      </x:c>
      <x:c r="O2" s="24" t="str">
        <x:v>Notes</x:v>
      </x:c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5" t="str">
        <x:v>CON-001</x:v>
      </x:c>
      <x:c r="B3" s="28" t="n">
        <x:v>46184.85428024305</x:v>
      </x:c>
      <x:c r="C3" s="25" t="str">
        <x:v>[Recruiter Name]</x:v>
      </x:c>
      <x:c r="D3" s="25" t="str">
        <x:v>Example Co</x:v>
      </x:c>
      <x:c r="E3" s="25" t="str">
        <x:v>Recruiter</x:v>
      </x:c>
      <x:c r="F3" s="25" t="str">
        <x:v>LinkedIn</x:v>
      </x:c>
      <x:c r="G3" s="25" t="str">
        <x:v>[URL or email]</x:v>
      </x:c>
      <x:c r="H3" s="25" t="str">
        <x:v>Recruiter</x:v>
      </x:c>
      <x:c r="I3" s="25" t="str">
        <x:v>A</x:v>
      </x:c>
      <x:c r="J3" s="25" t="str">
        <x:v>Not Contacted</x:v>
      </x:c>
      <x:c r="K3" s="28" t="str"/>
      <x:c r="L3" s="28" t="n">
        <x:v>46188.85428024305</x:v>
      </x:c>
      <x:c r="M3" s="25" t="str">
        <x:v>Recruiter first message</x:v>
      </x:c>
      <x:c r="N3" s="25" t="str">
        <x:v>No response</x:v>
      </x:c>
      <x:c r="O3" s="25" t="str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5"/>
      <x:c r="B4" s="28"/>
      <x:c r="C4" s="25"/>
      <x:c r="D4" s="25"/>
      <x:c r="E4" s="25"/>
      <x:c r="F4" s="25"/>
      <x:c r="G4" s="25"/>
      <x:c r="H4" s="25"/>
      <x:c r="I4" s="25"/>
      <x:c r="J4" s="25"/>
      <x:c r="K4" s="28"/>
      <x:c r="L4" s="28"/>
      <x:c r="M4" s="25"/>
      <x:c r="N4" s="25"/>
      <x:c r="O4" s="25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5"/>
      <x:c r="B5" s="28"/>
      <x:c r="C5" s="25"/>
      <x:c r="D5" s="25"/>
      <x:c r="E5" s="25"/>
      <x:c r="F5" s="25"/>
      <x:c r="G5" s="25"/>
      <x:c r="H5" s="25"/>
      <x:c r="I5" s="25"/>
      <x:c r="J5" s="25"/>
      <x:c r="K5" s="28"/>
      <x:c r="L5" s="28"/>
      <x:c r="M5" s="25"/>
      <x:c r="N5" s="25"/>
      <x:c r="O5" s="25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5"/>
      <x:c r="B6" s="28"/>
      <x:c r="C6" s="25"/>
      <x:c r="D6" s="25"/>
      <x:c r="E6" s="25"/>
      <x:c r="F6" s="25"/>
      <x:c r="G6" s="25"/>
      <x:c r="H6" s="25"/>
      <x:c r="I6" s="25"/>
      <x:c r="J6" s="25"/>
      <x:c r="K6" s="28"/>
      <x:c r="L6" s="28"/>
      <x:c r="M6" s="25"/>
      <x:c r="N6" s="25"/>
      <x:c r="O6" s="25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5"/>
      <x:c r="B7" s="28"/>
      <x:c r="C7" s="25"/>
      <x:c r="D7" s="25"/>
      <x:c r="E7" s="25"/>
      <x:c r="F7" s="25"/>
      <x:c r="G7" s="25"/>
      <x:c r="H7" s="25"/>
      <x:c r="I7" s="25"/>
      <x:c r="J7" s="25"/>
      <x:c r="K7" s="28"/>
      <x:c r="L7" s="28"/>
      <x:c r="M7" s="25"/>
      <x:c r="N7" s="25"/>
      <x:c r="O7" s="25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5"/>
      <x:c r="B8" s="28"/>
      <x:c r="C8" s="25"/>
      <x:c r="D8" s="25"/>
      <x:c r="E8" s="25"/>
      <x:c r="F8" s="25"/>
      <x:c r="G8" s="25"/>
      <x:c r="H8" s="25"/>
      <x:c r="I8" s="25"/>
      <x:c r="J8" s="25"/>
      <x:c r="K8" s="28"/>
      <x:c r="L8" s="28"/>
      <x:c r="M8" s="25"/>
      <x:c r="N8" s="25"/>
      <x:c r="O8" s="25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5"/>
      <x:c r="B9" s="28"/>
      <x:c r="C9" s="25"/>
      <x:c r="D9" s="25"/>
      <x:c r="E9" s="25"/>
      <x:c r="F9" s="25"/>
      <x:c r="G9" s="25"/>
      <x:c r="H9" s="25"/>
      <x:c r="I9" s="25"/>
      <x:c r="J9" s="25"/>
      <x:c r="K9" s="28"/>
      <x:c r="L9" s="28"/>
      <x:c r="M9" s="25"/>
      <x:c r="N9" s="25"/>
      <x:c r="O9" s="25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5"/>
      <x:c r="B10" s="28"/>
      <x:c r="C10" s="25"/>
      <x:c r="D10" s="25"/>
      <x:c r="E10" s="25"/>
      <x:c r="F10" s="25"/>
      <x:c r="G10" s="25"/>
      <x:c r="H10" s="25"/>
      <x:c r="I10" s="25"/>
      <x:c r="J10" s="25"/>
      <x:c r="K10" s="28"/>
      <x:c r="L10" s="28"/>
      <x:c r="M10" s="25"/>
      <x:c r="N10" s="25"/>
      <x:c r="O10" s="25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5"/>
      <x:c r="B11" s="28"/>
      <x:c r="C11" s="25"/>
      <x:c r="D11" s="25"/>
      <x:c r="E11" s="25"/>
      <x:c r="F11" s="25"/>
      <x:c r="G11" s="25"/>
      <x:c r="H11" s="25"/>
      <x:c r="I11" s="25"/>
      <x:c r="J11" s="25"/>
      <x:c r="K11" s="28"/>
      <x:c r="L11" s="28"/>
      <x:c r="M11" s="25"/>
      <x:c r="N11" s="25"/>
      <x:c r="O11" s="25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5"/>
      <x:c r="B12" s="28"/>
      <x:c r="C12" s="25"/>
      <x:c r="D12" s="25"/>
      <x:c r="E12" s="25"/>
      <x:c r="F12" s="25"/>
      <x:c r="G12" s="25"/>
      <x:c r="H12" s="25"/>
      <x:c r="I12" s="25"/>
      <x:c r="J12" s="25"/>
      <x:c r="K12" s="28"/>
      <x:c r="L12" s="28"/>
      <x:c r="M12" s="25"/>
      <x:c r="N12" s="25"/>
      <x:c r="O12" s="25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5"/>
      <x:c r="B13" s="28"/>
      <x:c r="C13" s="25"/>
      <x:c r="D13" s="25"/>
      <x:c r="E13" s="25"/>
      <x:c r="F13" s="25"/>
      <x:c r="G13" s="25"/>
      <x:c r="H13" s="25"/>
      <x:c r="I13" s="25"/>
      <x:c r="J13" s="25"/>
      <x:c r="K13" s="28"/>
      <x:c r="L13" s="28"/>
      <x:c r="M13" s="25"/>
      <x:c r="N13" s="25"/>
      <x:c r="O13" s="25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5"/>
      <x:c r="B14" s="28"/>
      <x:c r="C14" s="25"/>
      <x:c r="D14" s="25"/>
      <x:c r="E14" s="25"/>
      <x:c r="F14" s="25"/>
      <x:c r="G14" s="25"/>
      <x:c r="H14" s="25"/>
      <x:c r="I14" s="25"/>
      <x:c r="J14" s="25"/>
      <x:c r="K14" s="28"/>
      <x:c r="L14" s="28"/>
      <x:c r="M14" s="25"/>
      <x:c r="N14" s="25"/>
      <x:c r="O14" s="25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5"/>
      <x:c r="B15" s="28"/>
      <x:c r="C15" s="25"/>
      <x:c r="D15" s="25"/>
      <x:c r="E15" s="25"/>
      <x:c r="F15" s="25"/>
      <x:c r="G15" s="25"/>
      <x:c r="H15" s="25"/>
      <x:c r="I15" s="25"/>
      <x:c r="J15" s="25"/>
      <x:c r="K15" s="28"/>
      <x:c r="L15" s="28"/>
      <x:c r="M15" s="25"/>
      <x:c r="N15" s="25"/>
      <x:c r="O15" s="25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5"/>
      <x:c r="B16" s="28"/>
      <x:c r="C16" s="25"/>
      <x:c r="D16" s="25"/>
      <x:c r="E16" s="25"/>
      <x:c r="F16" s="25"/>
      <x:c r="G16" s="25"/>
      <x:c r="H16" s="25"/>
      <x:c r="I16" s="25"/>
      <x:c r="J16" s="25"/>
      <x:c r="K16" s="28"/>
      <x:c r="L16" s="28"/>
      <x:c r="M16" s="25"/>
      <x:c r="N16" s="25"/>
      <x:c r="O16" s="25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5"/>
      <x:c r="B17" s="28"/>
      <x:c r="C17" s="25"/>
      <x:c r="D17" s="25"/>
      <x:c r="E17" s="25"/>
      <x:c r="F17" s="25"/>
      <x:c r="G17" s="25"/>
      <x:c r="H17" s="25"/>
      <x:c r="I17" s="25"/>
      <x:c r="J17" s="25"/>
      <x:c r="K17" s="28"/>
      <x:c r="L17" s="28"/>
      <x:c r="M17" s="25"/>
      <x:c r="N17" s="25"/>
      <x:c r="O17" s="25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5"/>
      <x:c r="B18" s="28"/>
      <x:c r="C18" s="25"/>
      <x:c r="D18" s="25"/>
      <x:c r="E18" s="25"/>
      <x:c r="F18" s="25"/>
      <x:c r="G18" s="25"/>
      <x:c r="H18" s="25"/>
      <x:c r="I18" s="25"/>
      <x:c r="J18" s="25"/>
      <x:c r="K18" s="28"/>
      <x:c r="L18" s="28"/>
      <x:c r="M18" s="25"/>
      <x:c r="N18" s="25"/>
      <x:c r="O18" s="25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5"/>
      <x:c r="B19" s="28"/>
      <x:c r="C19" s="25"/>
      <x:c r="D19" s="25"/>
      <x:c r="E19" s="25"/>
      <x:c r="F19" s="25"/>
      <x:c r="G19" s="25"/>
      <x:c r="H19" s="25"/>
      <x:c r="I19" s="25"/>
      <x:c r="J19" s="25"/>
      <x:c r="K19" s="28"/>
      <x:c r="L19" s="28"/>
      <x:c r="M19" s="25"/>
      <x:c r="N19" s="25"/>
      <x:c r="O19" s="25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5"/>
      <x:c r="B20" s="28"/>
      <x:c r="C20" s="25"/>
      <x:c r="D20" s="25"/>
      <x:c r="E20" s="25"/>
      <x:c r="F20" s="25"/>
      <x:c r="G20" s="25"/>
      <x:c r="H20" s="25"/>
      <x:c r="I20" s="25"/>
      <x:c r="J20" s="25"/>
      <x:c r="K20" s="28"/>
      <x:c r="L20" s="28"/>
      <x:c r="M20" s="25"/>
      <x:c r="N20" s="25"/>
      <x:c r="O20" s="25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5"/>
      <x:c r="B21" s="28"/>
      <x:c r="C21" s="25"/>
      <x:c r="D21" s="25"/>
      <x:c r="E21" s="25"/>
      <x:c r="F21" s="25"/>
      <x:c r="G21" s="25"/>
      <x:c r="H21" s="25"/>
      <x:c r="I21" s="25"/>
      <x:c r="J21" s="25"/>
      <x:c r="K21" s="28"/>
      <x:c r="L21" s="28"/>
      <x:c r="M21" s="25"/>
      <x:c r="N21" s="25"/>
      <x:c r="O21" s="25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5"/>
      <x:c r="B22" s="28"/>
      <x:c r="C22" s="25"/>
      <x:c r="D22" s="25"/>
      <x:c r="E22" s="25"/>
      <x:c r="F22" s="25"/>
      <x:c r="G22" s="25"/>
      <x:c r="H22" s="25"/>
      <x:c r="I22" s="25"/>
      <x:c r="J22" s="25"/>
      <x:c r="K22" s="28"/>
      <x:c r="L22" s="28"/>
      <x:c r="M22" s="25"/>
      <x:c r="N22" s="25"/>
      <x:c r="O22" s="25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5"/>
      <x:c r="B23" s="28"/>
      <x:c r="C23" s="25"/>
      <x:c r="D23" s="25"/>
      <x:c r="E23" s="25"/>
      <x:c r="F23" s="25"/>
      <x:c r="G23" s="25"/>
      <x:c r="H23" s="25"/>
      <x:c r="I23" s="25"/>
      <x:c r="J23" s="25"/>
      <x:c r="K23" s="28"/>
      <x:c r="L23" s="28"/>
      <x:c r="M23" s="25"/>
      <x:c r="N23" s="25"/>
      <x:c r="O23" s="25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5"/>
      <x:c r="B24" s="28"/>
      <x:c r="C24" s="25"/>
      <x:c r="D24" s="25"/>
      <x:c r="E24" s="25"/>
      <x:c r="F24" s="25"/>
      <x:c r="G24" s="25"/>
      <x:c r="H24" s="25"/>
      <x:c r="I24" s="25"/>
      <x:c r="J24" s="25"/>
      <x:c r="K24" s="28"/>
      <x:c r="L24" s="28"/>
      <x:c r="M24" s="25"/>
      <x:c r="N24" s="25"/>
      <x:c r="O24" s="25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5"/>
      <x:c r="B25" s="28"/>
      <x:c r="C25" s="25"/>
      <x:c r="D25" s="25"/>
      <x:c r="E25" s="25"/>
      <x:c r="F25" s="25"/>
      <x:c r="G25" s="25"/>
      <x:c r="H25" s="25"/>
      <x:c r="I25" s="25"/>
      <x:c r="J25" s="25"/>
      <x:c r="K25" s="28"/>
      <x:c r="L25" s="28"/>
      <x:c r="M25" s="25"/>
      <x:c r="N25" s="25"/>
      <x:c r="O25" s="25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5"/>
      <x:c r="B26" s="28"/>
      <x:c r="C26" s="25"/>
      <x:c r="D26" s="25"/>
      <x:c r="E26" s="25"/>
      <x:c r="F26" s="25"/>
      <x:c r="G26" s="25"/>
      <x:c r="H26" s="25"/>
      <x:c r="I26" s="25"/>
      <x:c r="J26" s="25"/>
      <x:c r="K26" s="28"/>
      <x:c r="L26" s="28"/>
      <x:c r="M26" s="25"/>
      <x:c r="N26" s="25"/>
      <x:c r="O26" s="25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5"/>
      <x:c r="B27" s="28"/>
      <x:c r="C27" s="25"/>
      <x:c r="D27" s="25"/>
      <x:c r="E27" s="25"/>
      <x:c r="F27" s="25"/>
      <x:c r="G27" s="25"/>
      <x:c r="H27" s="25"/>
      <x:c r="I27" s="25"/>
      <x:c r="J27" s="25"/>
      <x:c r="K27" s="28"/>
      <x:c r="L27" s="28"/>
      <x:c r="M27" s="25"/>
      <x:c r="N27" s="25"/>
      <x:c r="O27" s="25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5"/>
      <x:c r="B28" s="28"/>
      <x:c r="C28" s="25"/>
      <x:c r="D28" s="25"/>
      <x:c r="E28" s="25"/>
      <x:c r="F28" s="25"/>
      <x:c r="G28" s="25"/>
      <x:c r="H28" s="25"/>
      <x:c r="I28" s="25"/>
      <x:c r="J28" s="25"/>
      <x:c r="K28" s="28"/>
      <x:c r="L28" s="28"/>
      <x:c r="M28" s="25"/>
      <x:c r="N28" s="25"/>
      <x:c r="O28" s="25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5"/>
      <x:c r="B29" s="28"/>
      <x:c r="C29" s="25"/>
      <x:c r="D29" s="25"/>
      <x:c r="E29" s="25"/>
      <x:c r="F29" s="25"/>
      <x:c r="G29" s="25"/>
      <x:c r="H29" s="25"/>
      <x:c r="I29" s="25"/>
      <x:c r="J29" s="25"/>
      <x:c r="K29" s="28"/>
      <x:c r="L29" s="28"/>
      <x:c r="M29" s="25"/>
      <x:c r="N29" s="25"/>
      <x:c r="O29" s="25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5"/>
      <x:c r="B30" s="28"/>
      <x:c r="C30" s="25"/>
      <x:c r="D30" s="25"/>
      <x:c r="E30" s="25"/>
      <x:c r="F30" s="25"/>
      <x:c r="G30" s="25"/>
      <x:c r="H30" s="25"/>
      <x:c r="I30" s="25"/>
      <x:c r="J30" s="25"/>
      <x:c r="K30" s="28"/>
      <x:c r="L30" s="28"/>
      <x:c r="M30" s="25"/>
      <x:c r="N30" s="25"/>
      <x:c r="O30" s="25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5"/>
      <x:c r="B31" s="28"/>
      <x:c r="C31" s="25"/>
      <x:c r="D31" s="25"/>
      <x:c r="E31" s="25"/>
      <x:c r="F31" s="25"/>
      <x:c r="G31" s="25"/>
      <x:c r="H31" s="25"/>
      <x:c r="I31" s="25"/>
      <x:c r="J31" s="25"/>
      <x:c r="K31" s="28"/>
      <x:c r="L31" s="28"/>
      <x:c r="M31" s="25"/>
      <x:c r="N31" s="25"/>
      <x:c r="O31" s="25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5"/>
      <x:c r="B32" s="28"/>
      <x:c r="C32" s="25"/>
      <x:c r="D32" s="25"/>
      <x:c r="E32" s="25"/>
      <x:c r="F32" s="25"/>
      <x:c r="G32" s="25"/>
      <x:c r="H32" s="25"/>
      <x:c r="I32" s="25"/>
      <x:c r="J32" s="25"/>
      <x:c r="K32" s="28"/>
      <x:c r="L32" s="28"/>
      <x:c r="M32" s="25"/>
      <x:c r="N32" s="25"/>
      <x:c r="O32" s="25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5"/>
      <x:c r="B33" s="28"/>
      <x:c r="C33" s="25"/>
      <x:c r="D33" s="25"/>
      <x:c r="E33" s="25"/>
      <x:c r="F33" s="25"/>
      <x:c r="G33" s="25"/>
      <x:c r="H33" s="25"/>
      <x:c r="I33" s="25"/>
      <x:c r="J33" s="25"/>
      <x:c r="K33" s="28"/>
      <x:c r="L33" s="28"/>
      <x:c r="M33" s="25"/>
      <x:c r="N33" s="25"/>
      <x:c r="O33" s="25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5"/>
      <x:c r="B34" s="28"/>
      <x:c r="C34" s="25"/>
      <x:c r="D34" s="25"/>
      <x:c r="E34" s="25"/>
      <x:c r="F34" s="25"/>
      <x:c r="G34" s="25"/>
      <x:c r="H34" s="25"/>
      <x:c r="I34" s="25"/>
      <x:c r="J34" s="25"/>
      <x:c r="K34" s="28"/>
      <x:c r="L34" s="28"/>
      <x:c r="M34" s="25"/>
      <x:c r="N34" s="25"/>
      <x:c r="O34" s="25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5"/>
      <x:c r="B35" s="28"/>
      <x:c r="C35" s="25"/>
      <x:c r="D35" s="25"/>
      <x:c r="E35" s="25"/>
      <x:c r="F35" s="25"/>
      <x:c r="G35" s="25"/>
      <x:c r="H35" s="25"/>
      <x:c r="I35" s="25"/>
      <x:c r="J35" s="25"/>
      <x:c r="K35" s="28"/>
      <x:c r="L35" s="28"/>
      <x:c r="M35" s="25"/>
      <x:c r="N35" s="25"/>
      <x:c r="O35" s="25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5"/>
      <x:c r="B36" s="28"/>
      <x:c r="C36" s="25"/>
      <x:c r="D36" s="25"/>
      <x:c r="E36" s="25"/>
      <x:c r="F36" s="25"/>
      <x:c r="G36" s="25"/>
      <x:c r="H36" s="25"/>
      <x:c r="I36" s="25"/>
      <x:c r="J36" s="25"/>
      <x:c r="K36" s="28"/>
      <x:c r="L36" s="28"/>
      <x:c r="M36" s="25"/>
      <x:c r="N36" s="25"/>
      <x:c r="O36" s="25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5"/>
      <x:c r="B37" s="28"/>
      <x:c r="C37" s="25"/>
      <x:c r="D37" s="25"/>
      <x:c r="E37" s="25"/>
      <x:c r="F37" s="25"/>
      <x:c r="G37" s="25"/>
      <x:c r="H37" s="25"/>
      <x:c r="I37" s="25"/>
      <x:c r="J37" s="25"/>
      <x:c r="K37" s="28"/>
      <x:c r="L37" s="28"/>
      <x:c r="M37" s="25"/>
      <x:c r="N37" s="25"/>
      <x:c r="O37" s="25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5"/>
      <x:c r="B38" s="28"/>
      <x:c r="C38" s="25"/>
      <x:c r="D38" s="25"/>
      <x:c r="E38" s="25"/>
      <x:c r="F38" s="25"/>
      <x:c r="G38" s="25"/>
      <x:c r="H38" s="25"/>
      <x:c r="I38" s="25"/>
      <x:c r="J38" s="25"/>
      <x:c r="K38" s="28"/>
      <x:c r="L38" s="28"/>
      <x:c r="M38" s="25"/>
      <x:c r="N38" s="25"/>
      <x:c r="O38" s="25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5"/>
      <x:c r="B39" s="28"/>
      <x:c r="C39" s="25"/>
      <x:c r="D39" s="25"/>
      <x:c r="E39" s="25"/>
      <x:c r="F39" s="25"/>
      <x:c r="G39" s="25"/>
      <x:c r="H39" s="25"/>
      <x:c r="I39" s="25"/>
      <x:c r="J39" s="25"/>
      <x:c r="K39" s="28"/>
      <x:c r="L39" s="28"/>
      <x:c r="M39" s="25"/>
      <x:c r="N39" s="25"/>
      <x:c r="O39" s="25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5"/>
      <x:c r="B40" s="28"/>
      <x:c r="C40" s="25"/>
      <x:c r="D40" s="25"/>
      <x:c r="E40" s="25"/>
      <x:c r="F40" s="25"/>
      <x:c r="G40" s="25"/>
      <x:c r="H40" s="25"/>
      <x:c r="I40" s="25"/>
      <x:c r="J40" s="25"/>
      <x:c r="K40" s="28"/>
      <x:c r="L40" s="28"/>
      <x:c r="M40" s="25"/>
      <x:c r="N40" s="25"/>
      <x:c r="O40" s="25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5"/>
      <x:c r="B41" s="28"/>
      <x:c r="C41" s="25"/>
      <x:c r="D41" s="25"/>
      <x:c r="E41" s="25"/>
      <x:c r="F41" s="25"/>
      <x:c r="G41" s="25"/>
      <x:c r="H41" s="25"/>
      <x:c r="I41" s="25"/>
      <x:c r="J41" s="25"/>
      <x:c r="K41" s="28"/>
      <x:c r="L41" s="28"/>
      <x:c r="M41" s="25"/>
      <x:c r="N41" s="25"/>
      <x:c r="O41" s="25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5"/>
      <x:c r="B42" s="28"/>
      <x:c r="C42" s="25"/>
      <x:c r="D42" s="25"/>
      <x:c r="E42" s="25"/>
      <x:c r="F42" s="25"/>
      <x:c r="G42" s="25"/>
      <x:c r="H42" s="25"/>
      <x:c r="I42" s="25"/>
      <x:c r="J42" s="25"/>
      <x:c r="K42" s="28"/>
      <x:c r="L42" s="28"/>
      <x:c r="M42" s="25"/>
      <x:c r="N42" s="25"/>
      <x:c r="O42" s="25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5"/>
      <x:c r="B43" s="28"/>
      <x:c r="C43" s="25"/>
      <x:c r="D43" s="25"/>
      <x:c r="E43" s="25"/>
      <x:c r="F43" s="25"/>
      <x:c r="G43" s="25"/>
      <x:c r="H43" s="25"/>
      <x:c r="I43" s="25"/>
      <x:c r="J43" s="25"/>
      <x:c r="K43" s="28"/>
      <x:c r="L43" s="28"/>
      <x:c r="M43" s="25"/>
      <x:c r="N43" s="25"/>
      <x:c r="O43" s="25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5"/>
      <x:c r="B44" s="28"/>
      <x:c r="C44" s="25"/>
      <x:c r="D44" s="25"/>
      <x:c r="E44" s="25"/>
      <x:c r="F44" s="25"/>
      <x:c r="G44" s="25"/>
      <x:c r="H44" s="25"/>
      <x:c r="I44" s="25"/>
      <x:c r="J44" s="25"/>
      <x:c r="K44" s="28"/>
      <x:c r="L44" s="28"/>
      <x:c r="M44" s="25"/>
      <x:c r="N44" s="25"/>
      <x:c r="O44" s="25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5"/>
      <x:c r="B45" s="28"/>
      <x:c r="C45" s="25"/>
      <x:c r="D45" s="25"/>
      <x:c r="E45" s="25"/>
      <x:c r="F45" s="25"/>
      <x:c r="G45" s="25"/>
      <x:c r="H45" s="25"/>
      <x:c r="I45" s="25"/>
      <x:c r="J45" s="25"/>
      <x:c r="K45" s="28"/>
      <x:c r="L45" s="28"/>
      <x:c r="M45" s="25"/>
      <x:c r="N45" s="25"/>
      <x:c r="O45" s="25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5"/>
      <x:c r="B46" s="28"/>
      <x:c r="C46" s="25"/>
      <x:c r="D46" s="25"/>
      <x:c r="E46" s="25"/>
      <x:c r="F46" s="25"/>
      <x:c r="G46" s="25"/>
      <x:c r="H46" s="25"/>
      <x:c r="I46" s="25"/>
      <x:c r="J46" s="25"/>
      <x:c r="K46" s="28"/>
      <x:c r="L46" s="28"/>
      <x:c r="M46" s="25"/>
      <x:c r="N46" s="25"/>
      <x:c r="O46" s="25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5"/>
      <x:c r="B47" s="28"/>
      <x:c r="C47" s="25"/>
      <x:c r="D47" s="25"/>
      <x:c r="E47" s="25"/>
      <x:c r="F47" s="25"/>
      <x:c r="G47" s="25"/>
      <x:c r="H47" s="25"/>
      <x:c r="I47" s="25"/>
      <x:c r="J47" s="25"/>
      <x:c r="K47" s="28"/>
      <x:c r="L47" s="28"/>
      <x:c r="M47" s="25"/>
      <x:c r="N47" s="25"/>
      <x:c r="O47" s="25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5"/>
      <x:c r="B48" s="28"/>
      <x:c r="C48" s="25"/>
      <x:c r="D48" s="25"/>
      <x:c r="E48" s="25"/>
      <x:c r="F48" s="25"/>
      <x:c r="G48" s="25"/>
      <x:c r="H48" s="25"/>
      <x:c r="I48" s="25"/>
      <x:c r="J48" s="25"/>
      <x:c r="K48" s="28"/>
      <x:c r="L48" s="28"/>
      <x:c r="M48" s="25"/>
      <x:c r="N48" s="25"/>
      <x:c r="O48" s="25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5"/>
      <x:c r="B49" s="28"/>
      <x:c r="C49" s="25"/>
      <x:c r="D49" s="25"/>
      <x:c r="E49" s="25"/>
      <x:c r="F49" s="25"/>
      <x:c r="G49" s="25"/>
      <x:c r="H49" s="25"/>
      <x:c r="I49" s="25"/>
      <x:c r="J49" s="25"/>
      <x:c r="K49" s="28"/>
      <x:c r="L49" s="28"/>
      <x:c r="M49" s="25"/>
      <x:c r="N49" s="25"/>
      <x:c r="O49" s="25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5"/>
      <x:c r="B50" s="28"/>
      <x:c r="C50" s="25"/>
      <x:c r="D50" s="25"/>
      <x:c r="E50" s="25"/>
      <x:c r="F50" s="25"/>
      <x:c r="G50" s="25"/>
      <x:c r="H50" s="25"/>
      <x:c r="I50" s="25"/>
      <x:c r="J50" s="25"/>
      <x:c r="K50" s="28"/>
      <x:c r="L50" s="28"/>
      <x:c r="M50" s="25"/>
      <x:c r="N50" s="25"/>
      <x:c r="O50" s="25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5"/>
      <x:c r="B51" s="28"/>
      <x:c r="C51" s="25"/>
      <x:c r="D51" s="25"/>
      <x:c r="E51" s="25"/>
      <x:c r="F51" s="25"/>
      <x:c r="G51" s="25"/>
      <x:c r="H51" s="25"/>
      <x:c r="I51" s="25"/>
      <x:c r="J51" s="25"/>
      <x:c r="K51" s="28"/>
      <x:c r="L51" s="28"/>
      <x:c r="M51" s="25"/>
      <x:c r="N51" s="25"/>
      <x:c r="O51" s="25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5"/>
      <x:c r="B52" s="28"/>
      <x:c r="C52" s="25"/>
      <x:c r="D52" s="25"/>
      <x:c r="E52" s="25"/>
      <x:c r="F52" s="25"/>
      <x:c r="G52" s="25"/>
      <x:c r="H52" s="25"/>
      <x:c r="I52" s="25"/>
      <x:c r="J52" s="25"/>
      <x:c r="K52" s="28"/>
      <x:c r="L52" s="28"/>
      <x:c r="M52" s="25"/>
      <x:c r="N52" s="25"/>
      <x:c r="O52" s="25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5"/>
      <x:c r="B53" s="28"/>
      <x:c r="C53" s="25"/>
      <x:c r="D53" s="25"/>
      <x:c r="E53" s="25"/>
      <x:c r="F53" s="25"/>
      <x:c r="G53" s="25"/>
      <x:c r="H53" s="25"/>
      <x:c r="I53" s="25"/>
      <x:c r="J53" s="25"/>
      <x:c r="K53" s="28"/>
      <x:c r="L53" s="28"/>
      <x:c r="M53" s="25"/>
      <x:c r="N53" s="25"/>
      <x:c r="O53" s="25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5"/>
      <x:c r="B54" s="28"/>
      <x:c r="C54" s="25"/>
      <x:c r="D54" s="25"/>
      <x:c r="E54" s="25"/>
      <x:c r="F54" s="25"/>
      <x:c r="G54" s="25"/>
      <x:c r="H54" s="25"/>
      <x:c r="I54" s="25"/>
      <x:c r="J54" s="25"/>
      <x:c r="K54" s="28"/>
      <x:c r="L54" s="28"/>
      <x:c r="M54" s="25"/>
      <x:c r="N54" s="25"/>
      <x:c r="O54" s="25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5"/>
      <x:c r="B55" s="28"/>
      <x:c r="C55" s="25"/>
      <x:c r="D55" s="25"/>
      <x:c r="E55" s="25"/>
      <x:c r="F55" s="25"/>
      <x:c r="G55" s="25"/>
      <x:c r="H55" s="25"/>
      <x:c r="I55" s="25"/>
      <x:c r="J55" s="25"/>
      <x:c r="K55" s="28"/>
      <x:c r="L55" s="28"/>
      <x:c r="M55" s="25"/>
      <x:c r="N55" s="25"/>
      <x:c r="O55" s="25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5"/>
      <x:c r="B56" s="28"/>
      <x:c r="C56" s="25"/>
      <x:c r="D56" s="25"/>
      <x:c r="E56" s="25"/>
      <x:c r="F56" s="25"/>
      <x:c r="G56" s="25"/>
      <x:c r="H56" s="25"/>
      <x:c r="I56" s="25"/>
      <x:c r="J56" s="25"/>
      <x:c r="K56" s="28"/>
      <x:c r="L56" s="28"/>
      <x:c r="M56" s="25"/>
      <x:c r="N56" s="25"/>
      <x:c r="O56" s="25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5"/>
      <x:c r="B57" s="28"/>
      <x:c r="C57" s="25"/>
      <x:c r="D57" s="25"/>
      <x:c r="E57" s="25"/>
      <x:c r="F57" s="25"/>
      <x:c r="G57" s="25"/>
      <x:c r="H57" s="25"/>
      <x:c r="I57" s="25"/>
      <x:c r="J57" s="25"/>
      <x:c r="K57" s="28"/>
      <x:c r="L57" s="28"/>
      <x:c r="M57" s="25"/>
      <x:c r="N57" s="25"/>
      <x:c r="O57" s="25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5"/>
      <x:c r="B58" s="28"/>
      <x:c r="C58" s="25"/>
      <x:c r="D58" s="25"/>
      <x:c r="E58" s="25"/>
      <x:c r="F58" s="25"/>
      <x:c r="G58" s="25"/>
      <x:c r="H58" s="25"/>
      <x:c r="I58" s="25"/>
      <x:c r="J58" s="25"/>
      <x:c r="K58" s="28"/>
      <x:c r="L58" s="28"/>
      <x:c r="M58" s="25"/>
      <x:c r="N58" s="25"/>
      <x:c r="O58" s="25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5"/>
      <x:c r="B59" s="28"/>
      <x:c r="C59" s="25"/>
      <x:c r="D59" s="25"/>
      <x:c r="E59" s="25"/>
      <x:c r="F59" s="25"/>
      <x:c r="G59" s="25"/>
      <x:c r="H59" s="25"/>
      <x:c r="I59" s="25"/>
      <x:c r="J59" s="25"/>
      <x:c r="K59" s="28"/>
      <x:c r="L59" s="28"/>
      <x:c r="M59" s="25"/>
      <x:c r="N59" s="25"/>
      <x:c r="O59" s="25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5"/>
      <x:c r="B60" s="28"/>
      <x:c r="C60" s="25"/>
      <x:c r="D60" s="25"/>
      <x:c r="E60" s="25"/>
      <x:c r="F60" s="25"/>
      <x:c r="G60" s="25"/>
      <x:c r="H60" s="25"/>
      <x:c r="I60" s="25"/>
      <x:c r="J60" s="25"/>
      <x:c r="K60" s="28"/>
      <x:c r="L60" s="28"/>
      <x:c r="M60" s="25"/>
      <x:c r="N60" s="25"/>
      <x:c r="O60" s="25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5"/>
      <x:c r="B61" s="28"/>
      <x:c r="C61" s="25"/>
      <x:c r="D61" s="25"/>
      <x:c r="E61" s="25"/>
      <x:c r="F61" s="25"/>
      <x:c r="G61" s="25"/>
      <x:c r="H61" s="25"/>
      <x:c r="I61" s="25"/>
      <x:c r="J61" s="25"/>
      <x:c r="K61" s="28"/>
      <x:c r="L61" s="28"/>
      <x:c r="M61" s="25"/>
      <x:c r="N61" s="25"/>
      <x:c r="O61" s="25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5"/>
      <x:c r="B62" s="28"/>
      <x:c r="C62" s="25"/>
      <x:c r="D62" s="25"/>
      <x:c r="E62" s="25"/>
      <x:c r="F62" s="25"/>
      <x:c r="G62" s="25"/>
      <x:c r="H62" s="25"/>
      <x:c r="I62" s="25"/>
      <x:c r="J62" s="25"/>
      <x:c r="K62" s="28"/>
      <x:c r="L62" s="28"/>
      <x:c r="M62" s="25"/>
      <x:c r="N62" s="25"/>
      <x:c r="O62" s="25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5"/>
      <x:c r="B63" s="28"/>
      <x:c r="C63" s="25"/>
      <x:c r="D63" s="25"/>
      <x:c r="E63" s="25"/>
      <x:c r="F63" s="25"/>
      <x:c r="G63" s="25"/>
      <x:c r="H63" s="25"/>
      <x:c r="I63" s="25"/>
      <x:c r="J63" s="25"/>
      <x:c r="K63" s="28"/>
      <x:c r="L63" s="28"/>
      <x:c r="M63" s="25"/>
      <x:c r="N63" s="25"/>
      <x:c r="O63" s="25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5"/>
      <x:c r="B64" s="28"/>
      <x:c r="C64" s="25"/>
      <x:c r="D64" s="25"/>
      <x:c r="E64" s="25"/>
      <x:c r="F64" s="25"/>
      <x:c r="G64" s="25"/>
      <x:c r="H64" s="25"/>
      <x:c r="I64" s="25"/>
      <x:c r="J64" s="25"/>
      <x:c r="K64" s="28"/>
      <x:c r="L64" s="28"/>
      <x:c r="M64" s="25"/>
      <x:c r="N64" s="25"/>
      <x:c r="O64" s="25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5"/>
      <x:c r="B65" s="28"/>
      <x:c r="C65" s="25"/>
      <x:c r="D65" s="25"/>
      <x:c r="E65" s="25"/>
      <x:c r="F65" s="25"/>
      <x:c r="G65" s="25"/>
      <x:c r="H65" s="25"/>
      <x:c r="I65" s="25"/>
      <x:c r="J65" s="25"/>
      <x:c r="K65" s="28"/>
      <x:c r="L65" s="28"/>
      <x:c r="M65" s="25"/>
      <x:c r="N65" s="25"/>
      <x:c r="O65" s="25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5"/>
      <x:c r="B66" s="28"/>
      <x:c r="C66" s="25"/>
      <x:c r="D66" s="25"/>
      <x:c r="E66" s="25"/>
      <x:c r="F66" s="25"/>
      <x:c r="G66" s="25"/>
      <x:c r="H66" s="25"/>
      <x:c r="I66" s="25"/>
      <x:c r="J66" s="25"/>
      <x:c r="K66" s="28"/>
      <x:c r="L66" s="28"/>
      <x:c r="M66" s="25"/>
      <x:c r="N66" s="25"/>
      <x:c r="O66" s="25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5"/>
      <x:c r="B67" s="28"/>
      <x:c r="C67" s="25"/>
      <x:c r="D67" s="25"/>
      <x:c r="E67" s="25"/>
      <x:c r="F67" s="25"/>
      <x:c r="G67" s="25"/>
      <x:c r="H67" s="25"/>
      <x:c r="I67" s="25"/>
      <x:c r="J67" s="25"/>
      <x:c r="K67" s="28"/>
      <x:c r="L67" s="28"/>
      <x:c r="M67" s="25"/>
      <x:c r="N67" s="25"/>
      <x:c r="O67" s="25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5"/>
      <x:c r="B68" s="28"/>
      <x:c r="C68" s="25"/>
      <x:c r="D68" s="25"/>
      <x:c r="E68" s="25"/>
      <x:c r="F68" s="25"/>
      <x:c r="G68" s="25"/>
      <x:c r="H68" s="25"/>
      <x:c r="I68" s="25"/>
      <x:c r="J68" s="25"/>
      <x:c r="K68" s="28"/>
      <x:c r="L68" s="28"/>
      <x:c r="M68" s="25"/>
      <x:c r="N68" s="25"/>
      <x:c r="O68" s="25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5"/>
      <x:c r="B69" s="28"/>
      <x:c r="C69" s="25"/>
      <x:c r="D69" s="25"/>
      <x:c r="E69" s="25"/>
      <x:c r="F69" s="25"/>
      <x:c r="G69" s="25"/>
      <x:c r="H69" s="25"/>
      <x:c r="I69" s="25"/>
      <x:c r="J69" s="25"/>
      <x:c r="K69" s="28"/>
      <x:c r="L69" s="28"/>
      <x:c r="M69" s="25"/>
      <x:c r="N69" s="25"/>
      <x:c r="O69" s="25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5"/>
      <x:c r="B70" s="28"/>
      <x:c r="C70" s="25"/>
      <x:c r="D70" s="25"/>
      <x:c r="E70" s="25"/>
      <x:c r="F70" s="25"/>
      <x:c r="G70" s="25"/>
      <x:c r="H70" s="25"/>
      <x:c r="I70" s="25"/>
      <x:c r="J70" s="25"/>
      <x:c r="K70" s="28"/>
      <x:c r="L70" s="28"/>
      <x:c r="M70" s="25"/>
      <x:c r="N70" s="25"/>
      <x:c r="O70" s="25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5"/>
      <x:c r="B71" s="28"/>
      <x:c r="C71" s="25"/>
      <x:c r="D71" s="25"/>
      <x:c r="E71" s="25"/>
      <x:c r="F71" s="25"/>
      <x:c r="G71" s="25"/>
      <x:c r="H71" s="25"/>
      <x:c r="I71" s="25"/>
      <x:c r="J71" s="25"/>
      <x:c r="K71" s="28"/>
      <x:c r="L71" s="28"/>
      <x:c r="M71" s="25"/>
      <x:c r="N71" s="25"/>
      <x:c r="O71" s="25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5"/>
      <x:c r="B72" s="28"/>
      <x:c r="C72" s="25"/>
      <x:c r="D72" s="25"/>
      <x:c r="E72" s="25"/>
      <x:c r="F72" s="25"/>
      <x:c r="G72" s="25"/>
      <x:c r="H72" s="25"/>
      <x:c r="I72" s="25"/>
      <x:c r="J72" s="25"/>
      <x:c r="K72" s="28"/>
      <x:c r="L72" s="28"/>
      <x:c r="M72" s="25"/>
      <x:c r="N72" s="25"/>
      <x:c r="O72" s="25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5"/>
      <x:c r="B73" s="28"/>
      <x:c r="C73" s="25"/>
      <x:c r="D73" s="25"/>
      <x:c r="E73" s="25"/>
      <x:c r="F73" s="25"/>
      <x:c r="G73" s="25"/>
      <x:c r="H73" s="25"/>
      <x:c r="I73" s="25"/>
      <x:c r="J73" s="25"/>
      <x:c r="K73" s="28"/>
      <x:c r="L73" s="28"/>
      <x:c r="M73" s="25"/>
      <x:c r="N73" s="25"/>
      <x:c r="O73" s="25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5"/>
      <x:c r="B74" s="28"/>
      <x:c r="C74" s="25"/>
      <x:c r="D74" s="25"/>
      <x:c r="E74" s="25"/>
      <x:c r="F74" s="25"/>
      <x:c r="G74" s="25"/>
      <x:c r="H74" s="25"/>
      <x:c r="I74" s="25"/>
      <x:c r="J74" s="25"/>
      <x:c r="K74" s="28"/>
      <x:c r="L74" s="28"/>
      <x:c r="M74" s="25"/>
      <x:c r="N74" s="25"/>
      <x:c r="O74" s="25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5"/>
      <x:c r="B75" s="28"/>
      <x:c r="C75" s="25"/>
      <x:c r="D75" s="25"/>
      <x:c r="E75" s="25"/>
      <x:c r="F75" s="25"/>
      <x:c r="G75" s="25"/>
      <x:c r="H75" s="25"/>
      <x:c r="I75" s="25"/>
      <x:c r="J75" s="25"/>
      <x:c r="K75" s="28"/>
      <x:c r="L75" s="28"/>
      <x:c r="M75" s="25"/>
      <x:c r="N75" s="25"/>
      <x:c r="O75" s="25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5"/>
      <x:c r="B76" s="28"/>
      <x:c r="C76" s="25"/>
      <x:c r="D76" s="25"/>
      <x:c r="E76" s="25"/>
      <x:c r="F76" s="25"/>
      <x:c r="G76" s="25"/>
      <x:c r="H76" s="25"/>
      <x:c r="I76" s="25"/>
      <x:c r="J76" s="25"/>
      <x:c r="K76" s="28"/>
      <x:c r="L76" s="28"/>
      <x:c r="M76" s="25"/>
      <x:c r="N76" s="25"/>
      <x:c r="O76" s="25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5"/>
      <x:c r="B77" s="28"/>
      <x:c r="C77" s="25"/>
      <x:c r="D77" s="25"/>
      <x:c r="E77" s="25"/>
      <x:c r="F77" s="25"/>
      <x:c r="G77" s="25"/>
      <x:c r="H77" s="25"/>
      <x:c r="I77" s="25"/>
      <x:c r="J77" s="25"/>
      <x:c r="K77" s="28"/>
      <x:c r="L77" s="28"/>
      <x:c r="M77" s="25"/>
      <x:c r="N77" s="25"/>
      <x:c r="O77" s="25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5"/>
      <x:c r="B78" s="28"/>
      <x:c r="C78" s="25"/>
      <x:c r="D78" s="25"/>
      <x:c r="E78" s="25"/>
      <x:c r="F78" s="25"/>
      <x:c r="G78" s="25"/>
      <x:c r="H78" s="25"/>
      <x:c r="I78" s="25"/>
      <x:c r="J78" s="25"/>
      <x:c r="K78" s="28"/>
      <x:c r="L78" s="28"/>
      <x:c r="M78" s="25"/>
      <x:c r="N78" s="25"/>
      <x:c r="O78" s="25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5"/>
      <x:c r="B79" s="28"/>
      <x:c r="C79" s="25"/>
      <x:c r="D79" s="25"/>
      <x:c r="E79" s="25"/>
      <x:c r="F79" s="25"/>
      <x:c r="G79" s="25"/>
      <x:c r="H79" s="25"/>
      <x:c r="I79" s="25"/>
      <x:c r="J79" s="25"/>
      <x:c r="K79" s="28"/>
      <x:c r="L79" s="28"/>
      <x:c r="M79" s="25"/>
      <x:c r="N79" s="25"/>
      <x:c r="O79" s="25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5"/>
      <x:c r="B80" s="28"/>
      <x:c r="C80" s="25"/>
      <x:c r="D80" s="25"/>
      <x:c r="E80" s="25"/>
      <x:c r="F80" s="25"/>
      <x:c r="G80" s="25"/>
      <x:c r="H80" s="25"/>
      <x:c r="I80" s="25"/>
      <x:c r="J80" s="25"/>
      <x:c r="K80" s="28"/>
      <x:c r="L80" s="28"/>
      <x:c r="M80" s="25"/>
      <x:c r="N80" s="25"/>
      <x:c r="O80" s="25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5"/>
      <x:c r="B81" s="28"/>
      <x:c r="C81" s="25"/>
      <x:c r="D81" s="25"/>
      <x:c r="E81" s="25"/>
      <x:c r="F81" s="25"/>
      <x:c r="G81" s="25"/>
      <x:c r="H81" s="25"/>
      <x:c r="I81" s="25"/>
      <x:c r="J81" s="25"/>
      <x:c r="K81" s="28"/>
      <x:c r="L81" s="28"/>
      <x:c r="M81" s="25"/>
      <x:c r="N81" s="25"/>
      <x:c r="O81" s="25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5"/>
      <x:c r="B82" s="28"/>
      <x:c r="C82" s="25"/>
      <x:c r="D82" s="25"/>
      <x:c r="E82" s="25"/>
      <x:c r="F82" s="25"/>
      <x:c r="G82" s="25"/>
      <x:c r="H82" s="25"/>
      <x:c r="I82" s="25"/>
      <x:c r="J82" s="25"/>
      <x:c r="K82" s="28"/>
      <x:c r="L82" s="28"/>
      <x:c r="M82" s="25"/>
      <x:c r="N82" s="25"/>
      <x:c r="O82" s="25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5"/>
      <x:c r="B83" s="28"/>
      <x:c r="C83" s="25"/>
      <x:c r="D83" s="25"/>
      <x:c r="E83" s="25"/>
      <x:c r="F83" s="25"/>
      <x:c r="G83" s="25"/>
      <x:c r="H83" s="25"/>
      <x:c r="I83" s="25"/>
      <x:c r="J83" s="25"/>
      <x:c r="K83" s="28"/>
      <x:c r="L83" s="28"/>
      <x:c r="M83" s="25"/>
      <x:c r="N83" s="25"/>
      <x:c r="O83" s="25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5"/>
      <x:c r="B84" s="28"/>
      <x:c r="C84" s="25"/>
      <x:c r="D84" s="25"/>
      <x:c r="E84" s="25"/>
      <x:c r="F84" s="25"/>
      <x:c r="G84" s="25"/>
      <x:c r="H84" s="25"/>
      <x:c r="I84" s="25"/>
      <x:c r="J84" s="25"/>
      <x:c r="K84" s="28"/>
      <x:c r="L84" s="28"/>
      <x:c r="M84" s="25"/>
      <x:c r="N84" s="25"/>
      <x:c r="O84" s="25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5"/>
      <x:c r="B85" s="28"/>
      <x:c r="C85" s="25"/>
      <x:c r="D85" s="25"/>
      <x:c r="E85" s="25"/>
      <x:c r="F85" s="25"/>
      <x:c r="G85" s="25"/>
      <x:c r="H85" s="25"/>
      <x:c r="I85" s="25"/>
      <x:c r="J85" s="25"/>
      <x:c r="K85" s="28"/>
      <x:c r="L85" s="28"/>
      <x:c r="M85" s="25"/>
      <x:c r="N85" s="25"/>
      <x:c r="O85" s="25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5"/>
      <x:c r="B86" s="28"/>
      <x:c r="C86" s="25"/>
      <x:c r="D86" s="25"/>
      <x:c r="E86" s="25"/>
      <x:c r="F86" s="25"/>
      <x:c r="G86" s="25"/>
      <x:c r="H86" s="25"/>
      <x:c r="I86" s="25"/>
      <x:c r="J86" s="25"/>
      <x:c r="K86" s="28"/>
      <x:c r="L86" s="28"/>
      <x:c r="M86" s="25"/>
      <x:c r="N86" s="25"/>
      <x:c r="O86" s="25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5"/>
      <x:c r="B87" s="28"/>
      <x:c r="C87" s="25"/>
      <x:c r="D87" s="25"/>
      <x:c r="E87" s="25"/>
      <x:c r="F87" s="25"/>
      <x:c r="G87" s="25"/>
      <x:c r="H87" s="25"/>
      <x:c r="I87" s="25"/>
      <x:c r="J87" s="25"/>
      <x:c r="K87" s="28"/>
      <x:c r="L87" s="28"/>
      <x:c r="M87" s="25"/>
      <x:c r="N87" s="25"/>
      <x:c r="O87" s="25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5"/>
      <x:c r="B88" s="28"/>
      <x:c r="C88" s="25"/>
      <x:c r="D88" s="25"/>
      <x:c r="E88" s="25"/>
      <x:c r="F88" s="25"/>
      <x:c r="G88" s="25"/>
      <x:c r="H88" s="25"/>
      <x:c r="I88" s="25"/>
      <x:c r="J88" s="25"/>
      <x:c r="K88" s="28"/>
      <x:c r="L88" s="28"/>
      <x:c r="M88" s="25"/>
      <x:c r="N88" s="25"/>
      <x:c r="O88" s="25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5"/>
      <x:c r="B89" s="28"/>
      <x:c r="C89" s="25"/>
      <x:c r="D89" s="25"/>
      <x:c r="E89" s="25"/>
      <x:c r="F89" s="25"/>
      <x:c r="G89" s="25"/>
      <x:c r="H89" s="25"/>
      <x:c r="I89" s="25"/>
      <x:c r="J89" s="25"/>
      <x:c r="K89" s="28"/>
      <x:c r="L89" s="28"/>
      <x:c r="M89" s="25"/>
      <x:c r="N89" s="25"/>
      <x:c r="O89" s="25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5"/>
      <x:c r="B90" s="28"/>
      <x:c r="C90" s="25"/>
      <x:c r="D90" s="25"/>
      <x:c r="E90" s="25"/>
      <x:c r="F90" s="25"/>
      <x:c r="G90" s="25"/>
      <x:c r="H90" s="25"/>
      <x:c r="I90" s="25"/>
      <x:c r="J90" s="25"/>
      <x:c r="K90" s="28"/>
      <x:c r="L90" s="28"/>
      <x:c r="M90" s="25"/>
      <x:c r="N90" s="25"/>
      <x:c r="O90" s="25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5"/>
      <x:c r="B91" s="28"/>
      <x:c r="C91" s="25"/>
      <x:c r="D91" s="25"/>
      <x:c r="E91" s="25"/>
      <x:c r="F91" s="25"/>
      <x:c r="G91" s="25"/>
      <x:c r="H91" s="25"/>
      <x:c r="I91" s="25"/>
      <x:c r="J91" s="25"/>
      <x:c r="K91" s="28"/>
      <x:c r="L91" s="28"/>
      <x:c r="M91" s="25"/>
      <x:c r="N91" s="25"/>
      <x:c r="O91" s="25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5"/>
      <x:c r="B92" s="28"/>
      <x:c r="C92" s="25"/>
      <x:c r="D92" s="25"/>
      <x:c r="E92" s="25"/>
      <x:c r="F92" s="25"/>
      <x:c r="G92" s="25"/>
      <x:c r="H92" s="25"/>
      <x:c r="I92" s="25"/>
      <x:c r="J92" s="25"/>
      <x:c r="K92" s="28"/>
      <x:c r="L92" s="28"/>
      <x:c r="M92" s="25"/>
      <x:c r="N92" s="25"/>
      <x:c r="O92" s="25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5"/>
      <x:c r="B93" s="28"/>
      <x:c r="C93" s="25"/>
      <x:c r="D93" s="25"/>
      <x:c r="E93" s="25"/>
      <x:c r="F93" s="25"/>
      <x:c r="G93" s="25"/>
      <x:c r="H93" s="25"/>
      <x:c r="I93" s="25"/>
      <x:c r="J93" s="25"/>
      <x:c r="K93" s="28"/>
      <x:c r="L93" s="28"/>
      <x:c r="M93" s="25"/>
      <x:c r="N93" s="25"/>
      <x:c r="O93" s="25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5"/>
      <x:c r="B94" s="28"/>
      <x:c r="C94" s="25"/>
      <x:c r="D94" s="25"/>
      <x:c r="E94" s="25"/>
      <x:c r="F94" s="25"/>
      <x:c r="G94" s="25"/>
      <x:c r="H94" s="25"/>
      <x:c r="I94" s="25"/>
      <x:c r="J94" s="25"/>
      <x:c r="K94" s="28"/>
      <x:c r="L94" s="28"/>
      <x:c r="M94" s="25"/>
      <x:c r="N94" s="25"/>
      <x:c r="O94" s="25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5"/>
      <x:c r="B95" s="28"/>
      <x:c r="C95" s="25"/>
      <x:c r="D95" s="25"/>
      <x:c r="E95" s="25"/>
      <x:c r="F95" s="25"/>
      <x:c r="G95" s="25"/>
      <x:c r="H95" s="25"/>
      <x:c r="I95" s="25"/>
      <x:c r="J95" s="25"/>
      <x:c r="K95" s="28"/>
      <x:c r="L95" s="28"/>
      <x:c r="M95" s="25"/>
      <x:c r="N95" s="25"/>
      <x:c r="O95" s="25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5"/>
      <x:c r="B96" s="28"/>
      <x:c r="C96" s="25"/>
      <x:c r="D96" s="25"/>
      <x:c r="E96" s="25"/>
      <x:c r="F96" s="25"/>
      <x:c r="G96" s="25"/>
      <x:c r="H96" s="25"/>
      <x:c r="I96" s="25"/>
      <x:c r="J96" s="25"/>
      <x:c r="K96" s="28"/>
      <x:c r="L96" s="28"/>
      <x:c r="M96" s="25"/>
      <x:c r="N96" s="25"/>
      <x:c r="O96" s="25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5"/>
      <x:c r="B97" s="28"/>
      <x:c r="C97" s="25"/>
      <x:c r="D97" s="25"/>
      <x:c r="E97" s="25"/>
      <x:c r="F97" s="25"/>
      <x:c r="G97" s="25"/>
      <x:c r="H97" s="25"/>
      <x:c r="I97" s="25"/>
      <x:c r="J97" s="25"/>
      <x:c r="K97" s="28"/>
      <x:c r="L97" s="28"/>
      <x:c r="M97" s="25"/>
      <x:c r="N97" s="25"/>
      <x:c r="O97" s="25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5"/>
      <x:c r="B98" s="28"/>
      <x:c r="C98" s="25"/>
      <x:c r="D98" s="25"/>
      <x:c r="E98" s="25"/>
      <x:c r="F98" s="25"/>
      <x:c r="G98" s="25"/>
      <x:c r="H98" s="25"/>
      <x:c r="I98" s="25"/>
      <x:c r="J98" s="25"/>
      <x:c r="K98" s="28"/>
      <x:c r="L98" s="28"/>
      <x:c r="M98" s="25"/>
      <x:c r="N98" s="25"/>
      <x:c r="O98" s="25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5"/>
      <x:c r="B99" s="28"/>
      <x:c r="C99" s="25"/>
      <x:c r="D99" s="25"/>
      <x:c r="E99" s="25"/>
      <x:c r="F99" s="25"/>
      <x:c r="G99" s="25"/>
      <x:c r="H99" s="25"/>
      <x:c r="I99" s="25"/>
      <x:c r="J99" s="25"/>
      <x:c r="K99" s="28"/>
      <x:c r="L99" s="28"/>
      <x:c r="M99" s="25"/>
      <x:c r="N99" s="25"/>
      <x:c r="O99" s="25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5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8"/>
      <x:c r="L100" s="28"/>
      <x:c r="M100" s="25"/>
      <x:c r="N100" s="25"/>
      <x:c r="O100" s="25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5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8"/>
      <x:c r="L101" s="28"/>
      <x:c r="M101" s="25"/>
      <x:c r="N101" s="25"/>
      <x:c r="O101" s="25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5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8"/>
      <x:c r="L102" s="28"/>
      <x:c r="M102" s="25"/>
      <x:c r="N102" s="25"/>
      <x:c r="O102" s="25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5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8"/>
      <x:c r="L103" s="28"/>
      <x:c r="M103" s="25"/>
      <x:c r="N103" s="25"/>
      <x:c r="O103" s="25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5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8"/>
      <x:c r="L104" s="28"/>
      <x:c r="M104" s="25"/>
      <x:c r="N104" s="25"/>
      <x:c r="O104" s="25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5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8"/>
      <x:c r="L105" s="28"/>
      <x:c r="M105" s="25"/>
      <x:c r="N105" s="25"/>
      <x:c r="O105" s="25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5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8"/>
      <x:c r="L106" s="28"/>
      <x:c r="M106" s="25"/>
      <x:c r="N106" s="25"/>
      <x:c r="O106" s="25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5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8"/>
      <x:c r="L107" s="28"/>
      <x:c r="M107" s="25"/>
      <x:c r="N107" s="25"/>
      <x:c r="O107" s="25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5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8"/>
      <x:c r="L108" s="28"/>
      <x:c r="M108" s="25"/>
      <x:c r="N108" s="25"/>
      <x:c r="O108" s="25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5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8"/>
      <x:c r="L109" s="28"/>
      <x:c r="M109" s="25"/>
      <x:c r="N109" s="25"/>
      <x:c r="O109" s="25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5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8"/>
      <x:c r="L110" s="28"/>
      <x:c r="M110" s="25"/>
      <x:c r="N110" s="25"/>
      <x:c r="O110" s="25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5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8"/>
      <x:c r="L111" s="28"/>
      <x:c r="M111" s="25"/>
      <x:c r="N111" s="25"/>
      <x:c r="O111" s="25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5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8"/>
      <x:c r="L112" s="28"/>
      <x:c r="M112" s="25"/>
      <x:c r="N112" s="25"/>
      <x:c r="O112" s="25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5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8"/>
      <x:c r="L113" s="28"/>
      <x:c r="M113" s="25"/>
      <x:c r="N113" s="25"/>
      <x:c r="O113" s="25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5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8"/>
      <x:c r="L114" s="28"/>
      <x:c r="M114" s="25"/>
      <x:c r="N114" s="25"/>
      <x:c r="O114" s="25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5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8"/>
      <x:c r="L115" s="28"/>
      <x:c r="M115" s="25"/>
      <x:c r="N115" s="25"/>
      <x:c r="O115" s="25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5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8"/>
      <x:c r="L116" s="28"/>
      <x:c r="M116" s="25"/>
      <x:c r="N116" s="25"/>
      <x:c r="O116" s="25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5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8"/>
      <x:c r="L117" s="28"/>
      <x:c r="M117" s="25"/>
      <x:c r="N117" s="25"/>
      <x:c r="O117" s="25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5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8"/>
      <x:c r="L118" s="28"/>
      <x:c r="M118" s="25"/>
      <x:c r="N118" s="25"/>
      <x:c r="O118" s="25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5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8"/>
      <x:c r="L119" s="28"/>
      <x:c r="M119" s="25"/>
      <x:c r="N119" s="25"/>
      <x:c r="O119" s="25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5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8"/>
      <x:c r="L120" s="28"/>
      <x:c r="M120" s="25"/>
      <x:c r="N120" s="25"/>
      <x:c r="O120" s="25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5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8"/>
      <x:c r="L121" s="28"/>
      <x:c r="M121" s="25"/>
      <x:c r="N121" s="25"/>
      <x:c r="O121" s="25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5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8"/>
      <x:c r="L122" s="28"/>
      <x:c r="M122" s="25"/>
      <x:c r="N122" s="25"/>
      <x:c r="O122" s="25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5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8"/>
      <x:c r="L123" s="28"/>
      <x:c r="M123" s="25"/>
      <x:c r="N123" s="25"/>
      <x:c r="O123" s="25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5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8"/>
      <x:c r="L124" s="28"/>
      <x:c r="M124" s="25"/>
      <x:c r="N124" s="25"/>
      <x:c r="O124" s="25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5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8"/>
      <x:c r="L125" s="28"/>
      <x:c r="M125" s="25"/>
      <x:c r="N125" s="25"/>
      <x:c r="O125" s="25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5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8"/>
      <x:c r="L126" s="28"/>
      <x:c r="M126" s="25"/>
      <x:c r="N126" s="25"/>
      <x:c r="O126" s="25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5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8"/>
      <x:c r="L127" s="28"/>
      <x:c r="M127" s="25"/>
      <x:c r="N127" s="25"/>
      <x:c r="O127" s="25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5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8"/>
      <x:c r="L128" s="28"/>
      <x:c r="M128" s="25"/>
      <x:c r="N128" s="25"/>
      <x:c r="O128" s="25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5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8"/>
      <x:c r="L129" s="28"/>
      <x:c r="M129" s="25"/>
      <x:c r="N129" s="25"/>
      <x:c r="O129" s="25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5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8"/>
      <x:c r="L130" s="28"/>
      <x:c r="M130" s="25"/>
      <x:c r="N130" s="25"/>
      <x:c r="O130" s="25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5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8"/>
      <x:c r="L131" s="28"/>
      <x:c r="M131" s="25"/>
      <x:c r="N131" s="25"/>
      <x:c r="O131" s="25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5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8"/>
      <x:c r="L132" s="28"/>
      <x:c r="M132" s="25"/>
      <x:c r="N132" s="25"/>
      <x:c r="O132" s="25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5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8"/>
      <x:c r="L133" s="28"/>
      <x:c r="M133" s="25"/>
      <x:c r="N133" s="25"/>
      <x:c r="O133" s="25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5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8"/>
      <x:c r="L134" s="28"/>
      <x:c r="M134" s="25"/>
      <x:c r="N134" s="25"/>
      <x:c r="O134" s="25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5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8"/>
      <x:c r="L135" s="28"/>
      <x:c r="M135" s="25"/>
      <x:c r="N135" s="25"/>
      <x:c r="O135" s="25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5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8"/>
      <x:c r="L136" s="28"/>
      <x:c r="M136" s="25"/>
      <x:c r="N136" s="25"/>
      <x:c r="O136" s="25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5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8"/>
      <x:c r="L137" s="28"/>
      <x:c r="M137" s="25"/>
      <x:c r="N137" s="25"/>
      <x:c r="O137" s="25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5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8"/>
      <x:c r="L138" s="28"/>
      <x:c r="M138" s="25"/>
      <x:c r="N138" s="25"/>
      <x:c r="O138" s="25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5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8"/>
      <x:c r="L139" s="28"/>
      <x:c r="M139" s="25"/>
      <x:c r="N139" s="25"/>
      <x:c r="O139" s="25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5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8"/>
      <x:c r="L140" s="28"/>
      <x:c r="M140" s="25"/>
      <x:c r="N140" s="25"/>
      <x:c r="O140" s="25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5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8"/>
      <x:c r="L141" s="28"/>
      <x:c r="M141" s="25"/>
      <x:c r="N141" s="25"/>
      <x:c r="O141" s="25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5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8"/>
      <x:c r="L142" s="28"/>
      <x:c r="M142" s="25"/>
      <x:c r="N142" s="25"/>
      <x:c r="O142" s="25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5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8"/>
      <x:c r="L143" s="28"/>
      <x:c r="M143" s="25"/>
      <x:c r="N143" s="25"/>
      <x:c r="O143" s="25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5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8"/>
      <x:c r="L144" s="28"/>
      <x:c r="M144" s="25"/>
      <x:c r="N144" s="25"/>
      <x:c r="O144" s="25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5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8"/>
      <x:c r="L145" s="28"/>
      <x:c r="M145" s="25"/>
      <x:c r="N145" s="25"/>
      <x:c r="O145" s="25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5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8"/>
      <x:c r="L146" s="28"/>
      <x:c r="M146" s="25"/>
      <x:c r="N146" s="25"/>
      <x:c r="O146" s="25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5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8"/>
      <x:c r="L147" s="28"/>
      <x:c r="M147" s="25"/>
      <x:c r="N147" s="25"/>
      <x:c r="O147" s="25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5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8"/>
      <x:c r="L148" s="28"/>
      <x:c r="M148" s="25"/>
      <x:c r="N148" s="25"/>
      <x:c r="O148" s="25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5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8"/>
      <x:c r="L149" s="28"/>
      <x:c r="M149" s="25"/>
      <x:c r="N149" s="25"/>
      <x:c r="O149" s="25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5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8"/>
      <x:c r="L150" s="28"/>
      <x:c r="M150" s="25"/>
      <x:c r="N150" s="25"/>
      <x:c r="O150" s="25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5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8"/>
      <x:c r="L151" s="28"/>
      <x:c r="M151" s="25"/>
      <x:c r="N151" s="25"/>
      <x:c r="O151" s="25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5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8"/>
      <x:c r="L152" s="28"/>
      <x:c r="M152" s="25"/>
      <x:c r="N152" s="25"/>
      <x:c r="O152" s="25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5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8"/>
      <x:c r="L153" s="28"/>
      <x:c r="M153" s="25"/>
      <x:c r="N153" s="25"/>
      <x:c r="O153" s="25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5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8"/>
      <x:c r="L154" s="28"/>
      <x:c r="M154" s="25"/>
      <x:c r="N154" s="25"/>
      <x:c r="O154" s="25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5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8"/>
      <x:c r="L155" s="28"/>
      <x:c r="M155" s="25"/>
      <x:c r="N155" s="25"/>
      <x:c r="O155" s="25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5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8"/>
      <x:c r="L156" s="28"/>
      <x:c r="M156" s="25"/>
      <x:c r="N156" s="25"/>
      <x:c r="O156" s="25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5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8"/>
      <x:c r="L157" s="28"/>
      <x:c r="M157" s="25"/>
      <x:c r="N157" s="25"/>
      <x:c r="O157" s="25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5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8"/>
      <x:c r="L158" s="28"/>
      <x:c r="M158" s="25"/>
      <x:c r="N158" s="25"/>
      <x:c r="O158" s="25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5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8"/>
      <x:c r="L159" s="28"/>
      <x:c r="M159" s="25"/>
      <x:c r="N159" s="25"/>
      <x:c r="O159" s="25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5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8"/>
      <x:c r="L160" s="28"/>
      <x:c r="M160" s="25"/>
      <x:c r="N160" s="25"/>
      <x:c r="O160" s="25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5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8"/>
      <x:c r="L161" s="28"/>
      <x:c r="M161" s="25"/>
      <x:c r="N161" s="25"/>
      <x:c r="O161" s="25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5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8"/>
      <x:c r="L162" s="28"/>
      <x:c r="M162" s="25"/>
      <x:c r="N162" s="25"/>
      <x:c r="O162" s="25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5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8"/>
      <x:c r="L163" s="28"/>
      <x:c r="M163" s="25"/>
      <x:c r="N163" s="25"/>
      <x:c r="O163" s="25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5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8"/>
      <x:c r="L164" s="28"/>
      <x:c r="M164" s="25"/>
      <x:c r="N164" s="25"/>
      <x:c r="O164" s="25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5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8"/>
      <x:c r="L165" s="28"/>
      <x:c r="M165" s="25"/>
      <x:c r="N165" s="25"/>
      <x:c r="O165" s="25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5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8"/>
      <x:c r="L166" s="28"/>
      <x:c r="M166" s="25"/>
      <x:c r="N166" s="25"/>
      <x:c r="O166" s="25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5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8"/>
      <x:c r="L167" s="28"/>
      <x:c r="M167" s="25"/>
      <x:c r="N167" s="25"/>
      <x:c r="O167" s="25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5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8"/>
      <x:c r="L168" s="28"/>
      <x:c r="M168" s="25"/>
      <x:c r="N168" s="25"/>
      <x:c r="O168" s="25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5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8"/>
      <x:c r="L169" s="28"/>
      <x:c r="M169" s="25"/>
      <x:c r="N169" s="25"/>
      <x:c r="O169" s="25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5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8"/>
      <x:c r="L170" s="28"/>
      <x:c r="M170" s="25"/>
      <x:c r="N170" s="25"/>
      <x:c r="O170" s="25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5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8"/>
      <x:c r="L171" s="28"/>
      <x:c r="M171" s="25"/>
      <x:c r="N171" s="25"/>
      <x:c r="O171" s="25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5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8"/>
      <x:c r="L172" s="28"/>
      <x:c r="M172" s="25"/>
      <x:c r="N172" s="25"/>
      <x:c r="O172" s="25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5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8"/>
      <x:c r="L173" s="28"/>
      <x:c r="M173" s="25"/>
      <x:c r="N173" s="25"/>
      <x:c r="O173" s="25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5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8"/>
      <x:c r="L174" s="28"/>
      <x:c r="M174" s="25"/>
      <x:c r="N174" s="25"/>
      <x:c r="O174" s="25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5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8"/>
      <x:c r="L175" s="28"/>
      <x:c r="M175" s="25"/>
      <x:c r="N175" s="25"/>
      <x:c r="O175" s="25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5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8"/>
      <x:c r="L176" s="28"/>
      <x:c r="M176" s="25"/>
      <x:c r="N176" s="25"/>
      <x:c r="O176" s="25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5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8"/>
      <x:c r="L177" s="28"/>
      <x:c r="M177" s="25"/>
      <x:c r="N177" s="25"/>
      <x:c r="O177" s="25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5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8"/>
      <x:c r="L178" s="28"/>
      <x:c r="M178" s="25"/>
      <x:c r="N178" s="25"/>
      <x:c r="O178" s="25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5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8"/>
      <x:c r="L179" s="28"/>
      <x:c r="M179" s="25"/>
      <x:c r="N179" s="25"/>
      <x:c r="O179" s="25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5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8"/>
      <x:c r="L180" s="28"/>
      <x:c r="M180" s="25"/>
      <x:c r="N180" s="25"/>
      <x:c r="O180" s="25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5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8"/>
      <x:c r="L181" s="28"/>
      <x:c r="M181" s="25"/>
      <x:c r="N181" s="25"/>
      <x:c r="O181" s="25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5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8"/>
      <x:c r="L182" s="28"/>
      <x:c r="M182" s="25"/>
      <x:c r="N182" s="25"/>
      <x:c r="O182" s="25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5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8"/>
      <x:c r="L183" s="28"/>
      <x:c r="M183" s="25"/>
      <x:c r="N183" s="25"/>
      <x:c r="O183" s="25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5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8"/>
      <x:c r="L184" s="28"/>
      <x:c r="M184" s="25"/>
      <x:c r="N184" s="25"/>
      <x:c r="O184" s="25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5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8"/>
      <x:c r="L185" s="28"/>
      <x:c r="M185" s="25"/>
      <x:c r="N185" s="25"/>
      <x:c r="O185" s="25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5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8"/>
      <x:c r="L186" s="28"/>
      <x:c r="M186" s="25"/>
      <x:c r="N186" s="25"/>
      <x:c r="O186" s="25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5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8"/>
      <x:c r="L187" s="28"/>
      <x:c r="M187" s="25"/>
      <x:c r="N187" s="25"/>
      <x:c r="O187" s="25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5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8"/>
      <x:c r="L188" s="28"/>
      <x:c r="M188" s="25"/>
      <x:c r="N188" s="25"/>
      <x:c r="O188" s="25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5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8"/>
      <x:c r="L189" s="28"/>
      <x:c r="M189" s="25"/>
      <x:c r="N189" s="25"/>
      <x:c r="O189" s="25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5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8"/>
      <x:c r="L190" s="28"/>
      <x:c r="M190" s="25"/>
      <x:c r="N190" s="25"/>
      <x:c r="O190" s="25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5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8"/>
      <x:c r="L191" s="28"/>
      <x:c r="M191" s="25"/>
      <x:c r="N191" s="25"/>
      <x:c r="O191" s="25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5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8"/>
      <x:c r="L192" s="28"/>
      <x:c r="M192" s="25"/>
      <x:c r="N192" s="25"/>
      <x:c r="O192" s="25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5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8"/>
      <x:c r="L193" s="28"/>
      <x:c r="M193" s="25"/>
      <x:c r="N193" s="25"/>
      <x:c r="O193" s="25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5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8"/>
      <x:c r="L194" s="28"/>
      <x:c r="M194" s="25"/>
      <x:c r="N194" s="25"/>
      <x:c r="O194" s="25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5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8"/>
      <x:c r="L195" s="28"/>
      <x:c r="M195" s="25"/>
      <x:c r="N195" s="25"/>
      <x:c r="O195" s="25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5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8"/>
      <x:c r="L196" s="28"/>
      <x:c r="M196" s="25"/>
      <x:c r="N196" s="25"/>
      <x:c r="O196" s="25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5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8"/>
      <x:c r="L197" s="28"/>
      <x:c r="M197" s="25"/>
      <x:c r="N197" s="25"/>
      <x:c r="O197" s="25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5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8"/>
      <x:c r="L198" s="28"/>
      <x:c r="M198" s="25"/>
      <x:c r="N198" s="25"/>
      <x:c r="O198" s="25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5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8"/>
      <x:c r="L199" s="28"/>
      <x:c r="M199" s="25"/>
      <x:c r="N199" s="25"/>
      <x:c r="O199" s="25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5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8"/>
      <x:c r="L200" s="28"/>
      <x:c r="M200" s="25"/>
      <x:c r="N200" s="25"/>
      <x:c r="O200" s="25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5"/>
      <x:c r="B201" s="28"/>
      <x:c r="C201" s="25"/>
      <x:c r="D201" s="25"/>
      <x:c r="E201" s="25"/>
      <x:c r="F201" s="25"/>
      <x:c r="G201" s="25"/>
      <x:c r="H201" s="25"/>
      <x:c r="I201" s="25"/>
      <x:c r="J201" s="25"/>
      <x:c r="K201" s="28"/>
      <x:c r="L201" s="28"/>
      <x:c r="M201" s="25"/>
      <x:c r="N201" s="25"/>
      <x:c r="O201" s="25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5"/>
      <x:c r="B202" s="28"/>
      <x:c r="C202" s="25"/>
      <x:c r="D202" s="25"/>
      <x:c r="E202" s="25"/>
      <x:c r="F202" s="25"/>
      <x:c r="G202" s="25"/>
      <x:c r="H202" s="25"/>
      <x:c r="I202" s="25"/>
      <x:c r="J202" s="25"/>
      <x:c r="K202" s="28"/>
      <x:c r="L202" s="28"/>
      <x:c r="M202" s="25"/>
      <x:c r="N202" s="25"/>
      <x:c r="O202" s="25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O1"/>
  </x:mergeCells>
  <x:conditionalFormatting sqref="L3:L202">
    <x:cfRule type="expression" dxfId="7" priority="1">
      <x:formula>AND(L3&lt;&gt;"",L3&lt;TODAY(),J3&lt;&gt;"Closed",J3&lt;&gt;"Archived",J3&lt;&gt;"Replied")</x:formula>
    </x:cfRule>
  </x:conditionalFormatting>
  <x:dataValidations count="2">
    <x:dataValidation type="list" sqref="I3:I202">
      <x:formula1>"A,B,C,Watchlist,Reject"</x:formula1>
    </x:dataValidation>
    <x:dataValidation type="list" sqref="J3:J202">
      <x:formula1>"Not Contacted,Contacted,Follow-up 1,Follow-up 2,Replied,Call Scheduled,Closed,Archived"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7b0dcfa39642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  <x:col min="11" max="11" width="38" hidden="0" customWidth="1"/>
    <x:col min="12" max="12" width="32" hidden="0" customWidth="1"/>
    <x:col min="13" max="13" width="28" hidden="0" customWidth="1"/>
    <x:col min="14" max="14" width="40" hidden="0" customWidth="1"/>
  </x:cols>
  <x:sheetData>
    <x:row r="1" ht="28" customHeight="1">
      <x:c r="A1" s="20" t="str">
        <x:v>Interviews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Interview ID</x:v>
      </x:c>
      <x:c r="B2" s="24" t="str">
        <x:v>Company</x:v>
      </x:c>
      <x:c r="C2" s="24" t="str">
        <x:v>Role</x:v>
      </x:c>
      <x:c r="D2" s="24" t="str">
        <x:v>Stage</x:v>
      </x:c>
      <x:c r="E2" s="24" t="str">
        <x:v>Date</x:v>
      </x:c>
      <x:c r="F2" s="24" t="str">
        <x:v>Interviewer</x:v>
      </x:c>
      <x:c r="G2" s="24" t="str">
        <x:v>Format</x:v>
      </x:c>
      <x:c r="H2" s="24" t="str">
        <x:v>Preparation Status</x:v>
      </x:c>
      <x:c r="I2" s="24" t="str">
        <x:v>Outcome</x:v>
      </x:c>
      <x:c r="J2" s="24" t="str">
        <x:v>Follow-up Date</x:v>
      </x:c>
      <x:c r="K2" s="24" t="str">
        <x:v>Key Questions</x:v>
      </x:c>
      <x:c r="L2" s="24" t="str">
        <x:v>Weak Points</x:v>
      </x:c>
      <x:c r="M2" s="24" t="str">
        <x:v>Next Action</x:v>
      </x:c>
      <x:c r="N2" s="24" t="str">
        <x:v>Notes</x:v>
      </x:c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5"/>
      <x:c r="B3" s="25"/>
      <x:c r="C3" s="25"/>
      <x:c r="D3" s="25"/>
      <x:c r="E3" s="34"/>
      <x:c r="F3" s="25"/>
      <x:c r="G3" s="25"/>
      <x:c r="H3" s="25"/>
      <x:c r="I3" s="25"/>
      <x:c r="J3" s="28"/>
      <x:c r="K3" s="25"/>
      <x:c r="L3" s="25"/>
      <x:c r="M3" s="25"/>
      <x:c r="N3" s="25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5"/>
      <x:c r="B4" s="25"/>
      <x:c r="C4" s="25"/>
      <x:c r="D4" s="25"/>
      <x:c r="E4" s="34"/>
      <x:c r="F4" s="25"/>
      <x:c r="G4" s="25"/>
      <x:c r="H4" s="25"/>
      <x:c r="I4" s="25"/>
      <x:c r="J4" s="28"/>
      <x:c r="K4" s="25"/>
      <x:c r="L4" s="25"/>
      <x:c r="M4" s="25"/>
      <x:c r="N4" s="25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5"/>
      <x:c r="B5" s="25"/>
      <x:c r="C5" s="25"/>
      <x:c r="D5" s="25"/>
      <x:c r="E5" s="34"/>
      <x:c r="F5" s="25"/>
      <x:c r="G5" s="25"/>
      <x:c r="H5" s="25"/>
      <x:c r="I5" s="25"/>
      <x:c r="J5" s="28"/>
      <x:c r="K5" s="25"/>
      <x:c r="L5" s="25"/>
      <x:c r="M5" s="25"/>
      <x:c r="N5" s="25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5"/>
      <x:c r="B6" s="25"/>
      <x:c r="C6" s="25"/>
      <x:c r="D6" s="25"/>
      <x:c r="E6" s="34"/>
      <x:c r="F6" s="25"/>
      <x:c r="G6" s="25"/>
      <x:c r="H6" s="25"/>
      <x:c r="I6" s="25"/>
      <x:c r="J6" s="28"/>
      <x:c r="K6" s="25"/>
      <x:c r="L6" s="25"/>
      <x:c r="M6" s="25"/>
      <x:c r="N6" s="25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5"/>
      <x:c r="B7" s="25"/>
      <x:c r="C7" s="25"/>
      <x:c r="D7" s="25"/>
      <x:c r="E7" s="34"/>
      <x:c r="F7" s="25"/>
      <x:c r="G7" s="25"/>
      <x:c r="H7" s="25"/>
      <x:c r="I7" s="25"/>
      <x:c r="J7" s="28"/>
      <x:c r="K7" s="25"/>
      <x:c r="L7" s="25"/>
      <x:c r="M7" s="25"/>
      <x:c r="N7" s="25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5"/>
      <x:c r="B8" s="25"/>
      <x:c r="C8" s="25"/>
      <x:c r="D8" s="25"/>
      <x:c r="E8" s="34"/>
      <x:c r="F8" s="25"/>
      <x:c r="G8" s="25"/>
      <x:c r="H8" s="25"/>
      <x:c r="I8" s="25"/>
      <x:c r="J8" s="28"/>
      <x:c r="K8" s="25"/>
      <x:c r="L8" s="25"/>
      <x:c r="M8" s="25"/>
      <x:c r="N8" s="25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5"/>
      <x:c r="B9" s="25"/>
      <x:c r="C9" s="25"/>
      <x:c r="D9" s="25"/>
      <x:c r="E9" s="34"/>
      <x:c r="F9" s="25"/>
      <x:c r="G9" s="25"/>
      <x:c r="H9" s="25"/>
      <x:c r="I9" s="25"/>
      <x:c r="J9" s="28"/>
      <x:c r="K9" s="25"/>
      <x:c r="L9" s="25"/>
      <x:c r="M9" s="25"/>
      <x:c r="N9" s="25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5"/>
      <x:c r="B10" s="25"/>
      <x:c r="C10" s="25"/>
      <x:c r="D10" s="25"/>
      <x:c r="E10" s="34"/>
      <x:c r="F10" s="25"/>
      <x:c r="G10" s="25"/>
      <x:c r="H10" s="25"/>
      <x:c r="I10" s="25"/>
      <x:c r="J10" s="28"/>
      <x:c r="K10" s="25"/>
      <x:c r="L10" s="25"/>
      <x:c r="M10" s="25"/>
      <x:c r="N10" s="25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5"/>
      <x:c r="B11" s="25"/>
      <x:c r="C11" s="25"/>
      <x:c r="D11" s="25"/>
      <x:c r="E11" s="34"/>
      <x:c r="F11" s="25"/>
      <x:c r="G11" s="25"/>
      <x:c r="H11" s="25"/>
      <x:c r="I11" s="25"/>
      <x:c r="J11" s="28"/>
      <x:c r="K11" s="25"/>
      <x:c r="L11" s="25"/>
      <x:c r="M11" s="25"/>
      <x:c r="N11" s="25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5"/>
      <x:c r="B12" s="25"/>
      <x:c r="C12" s="25"/>
      <x:c r="D12" s="25"/>
      <x:c r="E12" s="34"/>
      <x:c r="F12" s="25"/>
      <x:c r="G12" s="25"/>
      <x:c r="H12" s="25"/>
      <x:c r="I12" s="25"/>
      <x:c r="J12" s="28"/>
      <x:c r="K12" s="25"/>
      <x:c r="L12" s="25"/>
      <x:c r="M12" s="25"/>
      <x:c r="N12" s="25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5"/>
      <x:c r="B13" s="25"/>
      <x:c r="C13" s="25"/>
      <x:c r="D13" s="25"/>
      <x:c r="E13" s="34"/>
      <x:c r="F13" s="25"/>
      <x:c r="G13" s="25"/>
      <x:c r="H13" s="25"/>
      <x:c r="I13" s="25"/>
      <x:c r="J13" s="28"/>
      <x:c r="K13" s="25"/>
      <x:c r="L13" s="25"/>
      <x:c r="M13" s="25"/>
      <x:c r="N13" s="25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5"/>
      <x:c r="B14" s="25"/>
      <x:c r="C14" s="25"/>
      <x:c r="D14" s="25"/>
      <x:c r="E14" s="34"/>
      <x:c r="F14" s="25"/>
      <x:c r="G14" s="25"/>
      <x:c r="H14" s="25"/>
      <x:c r="I14" s="25"/>
      <x:c r="J14" s="28"/>
      <x:c r="K14" s="25"/>
      <x:c r="L14" s="25"/>
      <x:c r="M14" s="25"/>
      <x:c r="N14" s="25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5"/>
      <x:c r="B15" s="25"/>
      <x:c r="C15" s="25"/>
      <x:c r="D15" s="25"/>
      <x:c r="E15" s="34"/>
      <x:c r="F15" s="25"/>
      <x:c r="G15" s="25"/>
      <x:c r="H15" s="25"/>
      <x:c r="I15" s="25"/>
      <x:c r="J15" s="28"/>
      <x:c r="K15" s="25"/>
      <x:c r="L15" s="25"/>
      <x:c r="M15" s="25"/>
      <x:c r="N15" s="25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5"/>
      <x:c r="B16" s="25"/>
      <x:c r="C16" s="25"/>
      <x:c r="D16" s="25"/>
      <x:c r="E16" s="34"/>
      <x:c r="F16" s="25"/>
      <x:c r="G16" s="25"/>
      <x:c r="H16" s="25"/>
      <x:c r="I16" s="25"/>
      <x:c r="J16" s="28"/>
      <x:c r="K16" s="25"/>
      <x:c r="L16" s="25"/>
      <x:c r="M16" s="25"/>
      <x:c r="N16" s="25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5"/>
      <x:c r="B17" s="25"/>
      <x:c r="C17" s="25"/>
      <x:c r="D17" s="25"/>
      <x:c r="E17" s="34"/>
      <x:c r="F17" s="25"/>
      <x:c r="G17" s="25"/>
      <x:c r="H17" s="25"/>
      <x:c r="I17" s="25"/>
      <x:c r="J17" s="28"/>
      <x:c r="K17" s="25"/>
      <x:c r="L17" s="25"/>
      <x:c r="M17" s="25"/>
      <x:c r="N17" s="25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5"/>
      <x:c r="B18" s="25"/>
      <x:c r="C18" s="25"/>
      <x:c r="D18" s="25"/>
      <x:c r="E18" s="34"/>
      <x:c r="F18" s="25"/>
      <x:c r="G18" s="25"/>
      <x:c r="H18" s="25"/>
      <x:c r="I18" s="25"/>
      <x:c r="J18" s="28"/>
      <x:c r="K18" s="25"/>
      <x:c r="L18" s="25"/>
      <x:c r="M18" s="25"/>
      <x:c r="N18" s="25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5"/>
      <x:c r="B19" s="25"/>
      <x:c r="C19" s="25"/>
      <x:c r="D19" s="25"/>
      <x:c r="E19" s="34"/>
      <x:c r="F19" s="25"/>
      <x:c r="G19" s="25"/>
      <x:c r="H19" s="25"/>
      <x:c r="I19" s="25"/>
      <x:c r="J19" s="28"/>
      <x:c r="K19" s="25"/>
      <x:c r="L19" s="25"/>
      <x:c r="M19" s="25"/>
      <x:c r="N19" s="25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5"/>
      <x:c r="B20" s="25"/>
      <x:c r="C20" s="25"/>
      <x:c r="D20" s="25"/>
      <x:c r="E20" s="34"/>
      <x:c r="F20" s="25"/>
      <x:c r="G20" s="25"/>
      <x:c r="H20" s="25"/>
      <x:c r="I20" s="25"/>
      <x:c r="J20" s="28"/>
      <x:c r="K20" s="25"/>
      <x:c r="L20" s="25"/>
      <x:c r="M20" s="25"/>
      <x:c r="N20" s="25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5"/>
      <x:c r="B21" s="25"/>
      <x:c r="C21" s="25"/>
      <x:c r="D21" s="25"/>
      <x:c r="E21" s="34"/>
      <x:c r="F21" s="25"/>
      <x:c r="G21" s="25"/>
      <x:c r="H21" s="25"/>
      <x:c r="I21" s="25"/>
      <x:c r="J21" s="28"/>
      <x:c r="K21" s="25"/>
      <x:c r="L21" s="25"/>
      <x:c r="M21" s="25"/>
      <x:c r="N21" s="25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5"/>
      <x:c r="B22" s="25"/>
      <x:c r="C22" s="25"/>
      <x:c r="D22" s="25"/>
      <x:c r="E22" s="34"/>
      <x:c r="F22" s="25"/>
      <x:c r="G22" s="25"/>
      <x:c r="H22" s="25"/>
      <x:c r="I22" s="25"/>
      <x:c r="J22" s="28"/>
      <x:c r="K22" s="25"/>
      <x:c r="L22" s="25"/>
      <x:c r="M22" s="25"/>
      <x:c r="N22" s="25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5"/>
      <x:c r="B23" s="25"/>
      <x:c r="C23" s="25"/>
      <x:c r="D23" s="25"/>
      <x:c r="E23" s="34"/>
      <x:c r="F23" s="25"/>
      <x:c r="G23" s="25"/>
      <x:c r="H23" s="25"/>
      <x:c r="I23" s="25"/>
      <x:c r="J23" s="28"/>
      <x:c r="K23" s="25"/>
      <x:c r="L23" s="25"/>
      <x:c r="M23" s="25"/>
      <x:c r="N23" s="25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5"/>
      <x:c r="B24" s="25"/>
      <x:c r="C24" s="25"/>
      <x:c r="D24" s="25"/>
      <x:c r="E24" s="34"/>
      <x:c r="F24" s="25"/>
      <x:c r="G24" s="25"/>
      <x:c r="H24" s="25"/>
      <x:c r="I24" s="25"/>
      <x:c r="J24" s="28"/>
      <x:c r="K24" s="25"/>
      <x:c r="L24" s="25"/>
      <x:c r="M24" s="25"/>
      <x:c r="N24" s="25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5"/>
      <x:c r="B25" s="25"/>
      <x:c r="C25" s="25"/>
      <x:c r="D25" s="25"/>
      <x:c r="E25" s="34"/>
      <x:c r="F25" s="25"/>
      <x:c r="G25" s="25"/>
      <x:c r="H25" s="25"/>
      <x:c r="I25" s="25"/>
      <x:c r="J25" s="28"/>
      <x:c r="K25" s="25"/>
      <x:c r="L25" s="25"/>
      <x:c r="M25" s="25"/>
      <x:c r="N25" s="25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5"/>
      <x:c r="B26" s="25"/>
      <x:c r="C26" s="25"/>
      <x:c r="D26" s="25"/>
      <x:c r="E26" s="34"/>
      <x:c r="F26" s="25"/>
      <x:c r="G26" s="25"/>
      <x:c r="H26" s="25"/>
      <x:c r="I26" s="25"/>
      <x:c r="J26" s="28"/>
      <x:c r="K26" s="25"/>
      <x:c r="L26" s="25"/>
      <x:c r="M26" s="25"/>
      <x:c r="N26" s="25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5"/>
      <x:c r="B27" s="25"/>
      <x:c r="C27" s="25"/>
      <x:c r="D27" s="25"/>
      <x:c r="E27" s="34"/>
      <x:c r="F27" s="25"/>
      <x:c r="G27" s="25"/>
      <x:c r="H27" s="25"/>
      <x:c r="I27" s="25"/>
      <x:c r="J27" s="28"/>
      <x:c r="K27" s="25"/>
      <x:c r="L27" s="25"/>
      <x:c r="M27" s="25"/>
      <x:c r="N27" s="25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5"/>
      <x:c r="B28" s="25"/>
      <x:c r="C28" s="25"/>
      <x:c r="D28" s="25"/>
      <x:c r="E28" s="34"/>
      <x:c r="F28" s="25"/>
      <x:c r="G28" s="25"/>
      <x:c r="H28" s="25"/>
      <x:c r="I28" s="25"/>
      <x:c r="J28" s="28"/>
      <x:c r="K28" s="25"/>
      <x:c r="L28" s="25"/>
      <x:c r="M28" s="25"/>
      <x:c r="N28" s="25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5"/>
      <x:c r="B29" s="25"/>
      <x:c r="C29" s="25"/>
      <x:c r="D29" s="25"/>
      <x:c r="E29" s="34"/>
      <x:c r="F29" s="25"/>
      <x:c r="G29" s="25"/>
      <x:c r="H29" s="25"/>
      <x:c r="I29" s="25"/>
      <x:c r="J29" s="28"/>
      <x:c r="K29" s="25"/>
      <x:c r="L29" s="25"/>
      <x:c r="M29" s="25"/>
      <x:c r="N29" s="25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5"/>
      <x:c r="B30" s="25"/>
      <x:c r="C30" s="25"/>
      <x:c r="D30" s="25"/>
      <x:c r="E30" s="34"/>
      <x:c r="F30" s="25"/>
      <x:c r="G30" s="25"/>
      <x:c r="H30" s="25"/>
      <x:c r="I30" s="25"/>
      <x:c r="J30" s="28"/>
      <x:c r="K30" s="25"/>
      <x:c r="L30" s="25"/>
      <x:c r="M30" s="25"/>
      <x:c r="N30" s="25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5"/>
      <x:c r="B31" s="25"/>
      <x:c r="C31" s="25"/>
      <x:c r="D31" s="25"/>
      <x:c r="E31" s="34"/>
      <x:c r="F31" s="25"/>
      <x:c r="G31" s="25"/>
      <x:c r="H31" s="25"/>
      <x:c r="I31" s="25"/>
      <x:c r="J31" s="28"/>
      <x:c r="K31" s="25"/>
      <x:c r="L31" s="25"/>
      <x:c r="M31" s="25"/>
      <x:c r="N31" s="25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5"/>
      <x:c r="B32" s="25"/>
      <x:c r="C32" s="25"/>
      <x:c r="D32" s="25"/>
      <x:c r="E32" s="34"/>
      <x:c r="F32" s="25"/>
      <x:c r="G32" s="25"/>
      <x:c r="H32" s="25"/>
      <x:c r="I32" s="25"/>
      <x:c r="J32" s="28"/>
      <x:c r="K32" s="25"/>
      <x:c r="L32" s="25"/>
      <x:c r="M32" s="25"/>
      <x:c r="N32" s="25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5"/>
      <x:c r="B33" s="25"/>
      <x:c r="C33" s="25"/>
      <x:c r="D33" s="25"/>
      <x:c r="E33" s="34"/>
      <x:c r="F33" s="25"/>
      <x:c r="G33" s="25"/>
      <x:c r="H33" s="25"/>
      <x:c r="I33" s="25"/>
      <x:c r="J33" s="28"/>
      <x:c r="K33" s="25"/>
      <x:c r="L33" s="25"/>
      <x:c r="M33" s="25"/>
      <x:c r="N33" s="25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5"/>
      <x:c r="B34" s="25"/>
      <x:c r="C34" s="25"/>
      <x:c r="D34" s="25"/>
      <x:c r="E34" s="34"/>
      <x:c r="F34" s="25"/>
      <x:c r="G34" s="25"/>
      <x:c r="H34" s="25"/>
      <x:c r="I34" s="25"/>
      <x:c r="J34" s="28"/>
      <x:c r="K34" s="25"/>
      <x:c r="L34" s="25"/>
      <x:c r="M34" s="25"/>
      <x:c r="N34" s="25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5"/>
      <x:c r="B35" s="25"/>
      <x:c r="C35" s="25"/>
      <x:c r="D35" s="25"/>
      <x:c r="E35" s="34"/>
      <x:c r="F35" s="25"/>
      <x:c r="G35" s="25"/>
      <x:c r="H35" s="25"/>
      <x:c r="I35" s="25"/>
      <x:c r="J35" s="28"/>
      <x:c r="K35" s="25"/>
      <x:c r="L35" s="25"/>
      <x:c r="M35" s="25"/>
      <x:c r="N35" s="25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5"/>
      <x:c r="B36" s="25"/>
      <x:c r="C36" s="25"/>
      <x:c r="D36" s="25"/>
      <x:c r="E36" s="34"/>
      <x:c r="F36" s="25"/>
      <x:c r="G36" s="25"/>
      <x:c r="H36" s="25"/>
      <x:c r="I36" s="25"/>
      <x:c r="J36" s="28"/>
      <x:c r="K36" s="25"/>
      <x:c r="L36" s="25"/>
      <x:c r="M36" s="25"/>
      <x:c r="N36" s="25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5"/>
      <x:c r="B37" s="25"/>
      <x:c r="C37" s="25"/>
      <x:c r="D37" s="25"/>
      <x:c r="E37" s="34"/>
      <x:c r="F37" s="25"/>
      <x:c r="G37" s="25"/>
      <x:c r="H37" s="25"/>
      <x:c r="I37" s="25"/>
      <x:c r="J37" s="28"/>
      <x:c r="K37" s="25"/>
      <x:c r="L37" s="25"/>
      <x:c r="M37" s="25"/>
      <x:c r="N37" s="25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5"/>
      <x:c r="B38" s="25"/>
      <x:c r="C38" s="25"/>
      <x:c r="D38" s="25"/>
      <x:c r="E38" s="34"/>
      <x:c r="F38" s="25"/>
      <x:c r="G38" s="25"/>
      <x:c r="H38" s="25"/>
      <x:c r="I38" s="25"/>
      <x:c r="J38" s="28"/>
      <x:c r="K38" s="25"/>
      <x:c r="L38" s="25"/>
      <x:c r="M38" s="25"/>
      <x:c r="N38" s="25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5"/>
      <x:c r="B39" s="25"/>
      <x:c r="C39" s="25"/>
      <x:c r="D39" s="25"/>
      <x:c r="E39" s="34"/>
      <x:c r="F39" s="25"/>
      <x:c r="G39" s="25"/>
      <x:c r="H39" s="25"/>
      <x:c r="I39" s="25"/>
      <x:c r="J39" s="28"/>
      <x:c r="K39" s="25"/>
      <x:c r="L39" s="25"/>
      <x:c r="M39" s="25"/>
      <x:c r="N39" s="25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5"/>
      <x:c r="B40" s="25"/>
      <x:c r="C40" s="25"/>
      <x:c r="D40" s="25"/>
      <x:c r="E40" s="34"/>
      <x:c r="F40" s="25"/>
      <x:c r="G40" s="25"/>
      <x:c r="H40" s="25"/>
      <x:c r="I40" s="25"/>
      <x:c r="J40" s="28"/>
      <x:c r="K40" s="25"/>
      <x:c r="L40" s="25"/>
      <x:c r="M40" s="25"/>
      <x:c r="N40" s="25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5"/>
      <x:c r="B41" s="25"/>
      <x:c r="C41" s="25"/>
      <x:c r="D41" s="25"/>
      <x:c r="E41" s="34"/>
      <x:c r="F41" s="25"/>
      <x:c r="G41" s="25"/>
      <x:c r="H41" s="25"/>
      <x:c r="I41" s="25"/>
      <x:c r="J41" s="28"/>
      <x:c r="K41" s="25"/>
      <x:c r="L41" s="25"/>
      <x:c r="M41" s="25"/>
      <x:c r="N41" s="25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5"/>
      <x:c r="B42" s="25"/>
      <x:c r="C42" s="25"/>
      <x:c r="D42" s="25"/>
      <x:c r="E42" s="34"/>
      <x:c r="F42" s="25"/>
      <x:c r="G42" s="25"/>
      <x:c r="H42" s="25"/>
      <x:c r="I42" s="25"/>
      <x:c r="J42" s="28"/>
      <x:c r="K42" s="25"/>
      <x:c r="L42" s="25"/>
      <x:c r="M42" s="25"/>
      <x:c r="N42" s="25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5"/>
      <x:c r="B43" s="25"/>
      <x:c r="C43" s="25"/>
      <x:c r="D43" s="25"/>
      <x:c r="E43" s="34"/>
      <x:c r="F43" s="25"/>
      <x:c r="G43" s="25"/>
      <x:c r="H43" s="25"/>
      <x:c r="I43" s="25"/>
      <x:c r="J43" s="28"/>
      <x:c r="K43" s="25"/>
      <x:c r="L43" s="25"/>
      <x:c r="M43" s="25"/>
      <x:c r="N43" s="25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5"/>
      <x:c r="B44" s="25"/>
      <x:c r="C44" s="25"/>
      <x:c r="D44" s="25"/>
      <x:c r="E44" s="34"/>
      <x:c r="F44" s="25"/>
      <x:c r="G44" s="25"/>
      <x:c r="H44" s="25"/>
      <x:c r="I44" s="25"/>
      <x:c r="J44" s="28"/>
      <x:c r="K44" s="25"/>
      <x:c r="L44" s="25"/>
      <x:c r="M44" s="25"/>
      <x:c r="N44" s="25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5"/>
      <x:c r="B45" s="25"/>
      <x:c r="C45" s="25"/>
      <x:c r="D45" s="25"/>
      <x:c r="E45" s="34"/>
      <x:c r="F45" s="25"/>
      <x:c r="G45" s="25"/>
      <x:c r="H45" s="25"/>
      <x:c r="I45" s="25"/>
      <x:c r="J45" s="28"/>
      <x:c r="K45" s="25"/>
      <x:c r="L45" s="25"/>
      <x:c r="M45" s="25"/>
      <x:c r="N45" s="25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5"/>
      <x:c r="B46" s="25"/>
      <x:c r="C46" s="25"/>
      <x:c r="D46" s="25"/>
      <x:c r="E46" s="34"/>
      <x:c r="F46" s="25"/>
      <x:c r="G46" s="25"/>
      <x:c r="H46" s="25"/>
      <x:c r="I46" s="25"/>
      <x:c r="J46" s="28"/>
      <x:c r="K46" s="25"/>
      <x:c r="L46" s="25"/>
      <x:c r="M46" s="25"/>
      <x:c r="N46" s="25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5"/>
      <x:c r="B47" s="25"/>
      <x:c r="C47" s="25"/>
      <x:c r="D47" s="25"/>
      <x:c r="E47" s="34"/>
      <x:c r="F47" s="25"/>
      <x:c r="G47" s="25"/>
      <x:c r="H47" s="25"/>
      <x:c r="I47" s="25"/>
      <x:c r="J47" s="28"/>
      <x:c r="K47" s="25"/>
      <x:c r="L47" s="25"/>
      <x:c r="M47" s="25"/>
      <x:c r="N47" s="25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5"/>
      <x:c r="B48" s="25"/>
      <x:c r="C48" s="25"/>
      <x:c r="D48" s="25"/>
      <x:c r="E48" s="34"/>
      <x:c r="F48" s="25"/>
      <x:c r="G48" s="25"/>
      <x:c r="H48" s="25"/>
      <x:c r="I48" s="25"/>
      <x:c r="J48" s="28"/>
      <x:c r="K48" s="25"/>
      <x:c r="L48" s="25"/>
      <x:c r="M48" s="25"/>
      <x:c r="N48" s="25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5"/>
      <x:c r="B49" s="25"/>
      <x:c r="C49" s="25"/>
      <x:c r="D49" s="25"/>
      <x:c r="E49" s="34"/>
      <x:c r="F49" s="25"/>
      <x:c r="G49" s="25"/>
      <x:c r="H49" s="25"/>
      <x:c r="I49" s="25"/>
      <x:c r="J49" s="28"/>
      <x:c r="K49" s="25"/>
      <x:c r="L49" s="25"/>
      <x:c r="M49" s="25"/>
      <x:c r="N49" s="25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5"/>
      <x:c r="B50" s="25"/>
      <x:c r="C50" s="25"/>
      <x:c r="D50" s="25"/>
      <x:c r="E50" s="34"/>
      <x:c r="F50" s="25"/>
      <x:c r="G50" s="25"/>
      <x:c r="H50" s="25"/>
      <x:c r="I50" s="25"/>
      <x:c r="J50" s="28"/>
      <x:c r="K50" s="25"/>
      <x:c r="L50" s="25"/>
      <x:c r="M50" s="25"/>
      <x:c r="N50" s="25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5"/>
      <x:c r="B51" s="25"/>
      <x:c r="C51" s="25"/>
      <x:c r="D51" s="25"/>
      <x:c r="E51" s="34"/>
      <x:c r="F51" s="25"/>
      <x:c r="G51" s="25"/>
      <x:c r="H51" s="25"/>
      <x:c r="I51" s="25"/>
      <x:c r="J51" s="28"/>
      <x:c r="K51" s="25"/>
      <x:c r="L51" s="25"/>
      <x:c r="M51" s="25"/>
      <x:c r="N51" s="25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5"/>
      <x:c r="B52" s="25"/>
      <x:c r="C52" s="25"/>
      <x:c r="D52" s="25"/>
      <x:c r="E52" s="34"/>
      <x:c r="F52" s="25"/>
      <x:c r="G52" s="25"/>
      <x:c r="H52" s="25"/>
      <x:c r="I52" s="25"/>
      <x:c r="J52" s="28"/>
      <x:c r="K52" s="25"/>
      <x:c r="L52" s="25"/>
      <x:c r="M52" s="25"/>
      <x:c r="N52" s="25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5"/>
      <x:c r="B53" s="25"/>
      <x:c r="C53" s="25"/>
      <x:c r="D53" s="25"/>
      <x:c r="E53" s="34"/>
      <x:c r="F53" s="25"/>
      <x:c r="G53" s="25"/>
      <x:c r="H53" s="25"/>
      <x:c r="I53" s="25"/>
      <x:c r="J53" s="28"/>
      <x:c r="K53" s="25"/>
      <x:c r="L53" s="25"/>
      <x:c r="M53" s="25"/>
      <x:c r="N53" s="25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5"/>
      <x:c r="B54" s="25"/>
      <x:c r="C54" s="25"/>
      <x:c r="D54" s="25"/>
      <x:c r="E54" s="34"/>
      <x:c r="F54" s="25"/>
      <x:c r="G54" s="25"/>
      <x:c r="H54" s="25"/>
      <x:c r="I54" s="25"/>
      <x:c r="J54" s="28"/>
      <x:c r="K54" s="25"/>
      <x:c r="L54" s="25"/>
      <x:c r="M54" s="25"/>
      <x:c r="N54" s="25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5"/>
      <x:c r="B55" s="25"/>
      <x:c r="C55" s="25"/>
      <x:c r="D55" s="25"/>
      <x:c r="E55" s="34"/>
      <x:c r="F55" s="25"/>
      <x:c r="G55" s="25"/>
      <x:c r="H55" s="25"/>
      <x:c r="I55" s="25"/>
      <x:c r="J55" s="28"/>
      <x:c r="K55" s="25"/>
      <x:c r="L55" s="25"/>
      <x:c r="M55" s="25"/>
      <x:c r="N55" s="25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5"/>
      <x:c r="B56" s="25"/>
      <x:c r="C56" s="25"/>
      <x:c r="D56" s="25"/>
      <x:c r="E56" s="34"/>
      <x:c r="F56" s="25"/>
      <x:c r="G56" s="25"/>
      <x:c r="H56" s="25"/>
      <x:c r="I56" s="25"/>
      <x:c r="J56" s="28"/>
      <x:c r="K56" s="25"/>
      <x:c r="L56" s="25"/>
      <x:c r="M56" s="25"/>
      <x:c r="N56" s="25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5"/>
      <x:c r="B57" s="25"/>
      <x:c r="C57" s="25"/>
      <x:c r="D57" s="25"/>
      <x:c r="E57" s="34"/>
      <x:c r="F57" s="25"/>
      <x:c r="G57" s="25"/>
      <x:c r="H57" s="25"/>
      <x:c r="I57" s="25"/>
      <x:c r="J57" s="28"/>
      <x:c r="K57" s="25"/>
      <x:c r="L57" s="25"/>
      <x:c r="M57" s="25"/>
      <x:c r="N57" s="25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5"/>
      <x:c r="B58" s="25"/>
      <x:c r="C58" s="25"/>
      <x:c r="D58" s="25"/>
      <x:c r="E58" s="34"/>
      <x:c r="F58" s="25"/>
      <x:c r="G58" s="25"/>
      <x:c r="H58" s="25"/>
      <x:c r="I58" s="25"/>
      <x:c r="J58" s="28"/>
      <x:c r="K58" s="25"/>
      <x:c r="L58" s="25"/>
      <x:c r="M58" s="25"/>
      <x:c r="N58" s="25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5"/>
      <x:c r="B59" s="25"/>
      <x:c r="C59" s="25"/>
      <x:c r="D59" s="25"/>
      <x:c r="E59" s="34"/>
      <x:c r="F59" s="25"/>
      <x:c r="G59" s="25"/>
      <x:c r="H59" s="25"/>
      <x:c r="I59" s="25"/>
      <x:c r="J59" s="28"/>
      <x:c r="K59" s="25"/>
      <x:c r="L59" s="25"/>
      <x:c r="M59" s="25"/>
      <x:c r="N59" s="25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5"/>
      <x:c r="B60" s="25"/>
      <x:c r="C60" s="25"/>
      <x:c r="D60" s="25"/>
      <x:c r="E60" s="34"/>
      <x:c r="F60" s="25"/>
      <x:c r="G60" s="25"/>
      <x:c r="H60" s="25"/>
      <x:c r="I60" s="25"/>
      <x:c r="J60" s="28"/>
      <x:c r="K60" s="25"/>
      <x:c r="L60" s="25"/>
      <x:c r="M60" s="25"/>
      <x:c r="N60" s="25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5"/>
      <x:c r="B61" s="25"/>
      <x:c r="C61" s="25"/>
      <x:c r="D61" s="25"/>
      <x:c r="E61" s="34"/>
      <x:c r="F61" s="25"/>
      <x:c r="G61" s="25"/>
      <x:c r="H61" s="25"/>
      <x:c r="I61" s="25"/>
      <x:c r="J61" s="28"/>
      <x:c r="K61" s="25"/>
      <x:c r="L61" s="25"/>
      <x:c r="M61" s="25"/>
      <x:c r="N61" s="25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5"/>
      <x:c r="B62" s="25"/>
      <x:c r="C62" s="25"/>
      <x:c r="D62" s="25"/>
      <x:c r="E62" s="34"/>
      <x:c r="F62" s="25"/>
      <x:c r="G62" s="25"/>
      <x:c r="H62" s="25"/>
      <x:c r="I62" s="25"/>
      <x:c r="J62" s="28"/>
      <x:c r="K62" s="25"/>
      <x:c r="L62" s="25"/>
      <x:c r="M62" s="25"/>
      <x:c r="N62" s="25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5"/>
      <x:c r="B63" s="25"/>
      <x:c r="C63" s="25"/>
      <x:c r="D63" s="25"/>
      <x:c r="E63" s="34"/>
      <x:c r="F63" s="25"/>
      <x:c r="G63" s="25"/>
      <x:c r="H63" s="25"/>
      <x:c r="I63" s="25"/>
      <x:c r="J63" s="28"/>
      <x:c r="K63" s="25"/>
      <x:c r="L63" s="25"/>
      <x:c r="M63" s="25"/>
      <x:c r="N63" s="25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5"/>
      <x:c r="B64" s="25"/>
      <x:c r="C64" s="25"/>
      <x:c r="D64" s="25"/>
      <x:c r="E64" s="34"/>
      <x:c r="F64" s="25"/>
      <x:c r="G64" s="25"/>
      <x:c r="H64" s="25"/>
      <x:c r="I64" s="25"/>
      <x:c r="J64" s="28"/>
      <x:c r="K64" s="25"/>
      <x:c r="L64" s="25"/>
      <x:c r="M64" s="25"/>
      <x:c r="N64" s="25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5"/>
      <x:c r="B65" s="25"/>
      <x:c r="C65" s="25"/>
      <x:c r="D65" s="25"/>
      <x:c r="E65" s="34"/>
      <x:c r="F65" s="25"/>
      <x:c r="G65" s="25"/>
      <x:c r="H65" s="25"/>
      <x:c r="I65" s="25"/>
      <x:c r="J65" s="28"/>
      <x:c r="K65" s="25"/>
      <x:c r="L65" s="25"/>
      <x:c r="M65" s="25"/>
      <x:c r="N65" s="25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5"/>
      <x:c r="B66" s="25"/>
      <x:c r="C66" s="25"/>
      <x:c r="D66" s="25"/>
      <x:c r="E66" s="34"/>
      <x:c r="F66" s="25"/>
      <x:c r="G66" s="25"/>
      <x:c r="H66" s="25"/>
      <x:c r="I66" s="25"/>
      <x:c r="J66" s="28"/>
      <x:c r="K66" s="25"/>
      <x:c r="L66" s="25"/>
      <x:c r="M66" s="25"/>
      <x:c r="N66" s="25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5"/>
      <x:c r="B67" s="25"/>
      <x:c r="C67" s="25"/>
      <x:c r="D67" s="25"/>
      <x:c r="E67" s="34"/>
      <x:c r="F67" s="25"/>
      <x:c r="G67" s="25"/>
      <x:c r="H67" s="25"/>
      <x:c r="I67" s="25"/>
      <x:c r="J67" s="28"/>
      <x:c r="K67" s="25"/>
      <x:c r="L67" s="25"/>
      <x:c r="M67" s="25"/>
      <x:c r="N67" s="25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5"/>
      <x:c r="B68" s="25"/>
      <x:c r="C68" s="25"/>
      <x:c r="D68" s="25"/>
      <x:c r="E68" s="34"/>
      <x:c r="F68" s="25"/>
      <x:c r="G68" s="25"/>
      <x:c r="H68" s="25"/>
      <x:c r="I68" s="25"/>
      <x:c r="J68" s="28"/>
      <x:c r="K68" s="25"/>
      <x:c r="L68" s="25"/>
      <x:c r="M68" s="25"/>
      <x:c r="N68" s="25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5"/>
      <x:c r="B69" s="25"/>
      <x:c r="C69" s="25"/>
      <x:c r="D69" s="25"/>
      <x:c r="E69" s="34"/>
      <x:c r="F69" s="25"/>
      <x:c r="G69" s="25"/>
      <x:c r="H69" s="25"/>
      <x:c r="I69" s="25"/>
      <x:c r="J69" s="28"/>
      <x:c r="K69" s="25"/>
      <x:c r="L69" s="25"/>
      <x:c r="M69" s="25"/>
      <x:c r="N69" s="25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5"/>
      <x:c r="B70" s="25"/>
      <x:c r="C70" s="25"/>
      <x:c r="D70" s="25"/>
      <x:c r="E70" s="34"/>
      <x:c r="F70" s="25"/>
      <x:c r="G70" s="25"/>
      <x:c r="H70" s="25"/>
      <x:c r="I70" s="25"/>
      <x:c r="J70" s="28"/>
      <x:c r="K70" s="25"/>
      <x:c r="L70" s="25"/>
      <x:c r="M70" s="25"/>
      <x:c r="N70" s="25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5"/>
      <x:c r="B71" s="25"/>
      <x:c r="C71" s="25"/>
      <x:c r="D71" s="25"/>
      <x:c r="E71" s="34"/>
      <x:c r="F71" s="25"/>
      <x:c r="G71" s="25"/>
      <x:c r="H71" s="25"/>
      <x:c r="I71" s="25"/>
      <x:c r="J71" s="28"/>
      <x:c r="K71" s="25"/>
      <x:c r="L71" s="25"/>
      <x:c r="M71" s="25"/>
      <x:c r="N71" s="25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5"/>
      <x:c r="B72" s="25"/>
      <x:c r="C72" s="25"/>
      <x:c r="D72" s="25"/>
      <x:c r="E72" s="34"/>
      <x:c r="F72" s="25"/>
      <x:c r="G72" s="25"/>
      <x:c r="H72" s="25"/>
      <x:c r="I72" s="25"/>
      <x:c r="J72" s="28"/>
      <x:c r="K72" s="25"/>
      <x:c r="L72" s="25"/>
      <x:c r="M72" s="25"/>
      <x:c r="N72" s="25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5"/>
      <x:c r="B73" s="25"/>
      <x:c r="C73" s="25"/>
      <x:c r="D73" s="25"/>
      <x:c r="E73" s="34"/>
      <x:c r="F73" s="25"/>
      <x:c r="G73" s="25"/>
      <x:c r="H73" s="25"/>
      <x:c r="I73" s="25"/>
      <x:c r="J73" s="28"/>
      <x:c r="K73" s="25"/>
      <x:c r="L73" s="25"/>
      <x:c r="M73" s="25"/>
      <x:c r="N73" s="25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5"/>
      <x:c r="B74" s="25"/>
      <x:c r="C74" s="25"/>
      <x:c r="D74" s="25"/>
      <x:c r="E74" s="34"/>
      <x:c r="F74" s="25"/>
      <x:c r="G74" s="25"/>
      <x:c r="H74" s="25"/>
      <x:c r="I74" s="25"/>
      <x:c r="J74" s="28"/>
      <x:c r="K74" s="25"/>
      <x:c r="L74" s="25"/>
      <x:c r="M74" s="25"/>
      <x:c r="N74" s="25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5"/>
      <x:c r="B75" s="25"/>
      <x:c r="C75" s="25"/>
      <x:c r="D75" s="25"/>
      <x:c r="E75" s="34"/>
      <x:c r="F75" s="25"/>
      <x:c r="G75" s="25"/>
      <x:c r="H75" s="25"/>
      <x:c r="I75" s="25"/>
      <x:c r="J75" s="28"/>
      <x:c r="K75" s="25"/>
      <x:c r="L75" s="25"/>
      <x:c r="M75" s="25"/>
      <x:c r="N75" s="25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5"/>
      <x:c r="B76" s="25"/>
      <x:c r="C76" s="25"/>
      <x:c r="D76" s="25"/>
      <x:c r="E76" s="34"/>
      <x:c r="F76" s="25"/>
      <x:c r="G76" s="25"/>
      <x:c r="H76" s="25"/>
      <x:c r="I76" s="25"/>
      <x:c r="J76" s="28"/>
      <x:c r="K76" s="25"/>
      <x:c r="L76" s="25"/>
      <x:c r="M76" s="25"/>
      <x:c r="N76" s="25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5"/>
      <x:c r="B77" s="25"/>
      <x:c r="C77" s="25"/>
      <x:c r="D77" s="25"/>
      <x:c r="E77" s="34"/>
      <x:c r="F77" s="25"/>
      <x:c r="G77" s="25"/>
      <x:c r="H77" s="25"/>
      <x:c r="I77" s="25"/>
      <x:c r="J77" s="28"/>
      <x:c r="K77" s="25"/>
      <x:c r="L77" s="25"/>
      <x:c r="M77" s="25"/>
      <x:c r="N77" s="25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5"/>
      <x:c r="B78" s="25"/>
      <x:c r="C78" s="25"/>
      <x:c r="D78" s="25"/>
      <x:c r="E78" s="34"/>
      <x:c r="F78" s="25"/>
      <x:c r="G78" s="25"/>
      <x:c r="H78" s="25"/>
      <x:c r="I78" s="25"/>
      <x:c r="J78" s="28"/>
      <x:c r="K78" s="25"/>
      <x:c r="L78" s="25"/>
      <x:c r="M78" s="25"/>
      <x:c r="N78" s="25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5"/>
      <x:c r="B79" s="25"/>
      <x:c r="C79" s="25"/>
      <x:c r="D79" s="25"/>
      <x:c r="E79" s="34"/>
      <x:c r="F79" s="25"/>
      <x:c r="G79" s="25"/>
      <x:c r="H79" s="25"/>
      <x:c r="I79" s="25"/>
      <x:c r="J79" s="28"/>
      <x:c r="K79" s="25"/>
      <x:c r="L79" s="25"/>
      <x:c r="M79" s="25"/>
      <x:c r="N79" s="25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5"/>
      <x:c r="B80" s="25"/>
      <x:c r="C80" s="25"/>
      <x:c r="D80" s="25"/>
      <x:c r="E80" s="34"/>
      <x:c r="F80" s="25"/>
      <x:c r="G80" s="25"/>
      <x:c r="H80" s="25"/>
      <x:c r="I80" s="25"/>
      <x:c r="J80" s="28"/>
      <x:c r="K80" s="25"/>
      <x:c r="L80" s="25"/>
      <x:c r="M80" s="25"/>
      <x:c r="N80" s="25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5"/>
      <x:c r="B81" s="25"/>
      <x:c r="C81" s="25"/>
      <x:c r="D81" s="25"/>
      <x:c r="E81" s="34"/>
      <x:c r="F81" s="25"/>
      <x:c r="G81" s="25"/>
      <x:c r="H81" s="25"/>
      <x:c r="I81" s="25"/>
      <x:c r="J81" s="28"/>
      <x:c r="K81" s="25"/>
      <x:c r="L81" s="25"/>
      <x:c r="M81" s="25"/>
      <x:c r="N81" s="25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5"/>
      <x:c r="B82" s="25"/>
      <x:c r="C82" s="25"/>
      <x:c r="D82" s="25"/>
      <x:c r="E82" s="34"/>
      <x:c r="F82" s="25"/>
      <x:c r="G82" s="25"/>
      <x:c r="H82" s="25"/>
      <x:c r="I82" s="25"/>
      <x:c r="J82" s="28"/>
      <x:c r="K82" s="25"/>
      <x:c r="L82" s="25"/>
      <x:c r="M82" s="25"/>
      <x:c r="N82" s="25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5"/>
      <x:c r="B83" s="25"/>
      <x:c r="C83" s="25"/>
      <x:c r="D83" s="25"/>
      <x:c r="E83" s="34"/>
      <x:c r="F83" s="25"/>
      <x:c r="G83" s="25"/>
      <x:c r="H83" s="25"/>
      <x:c r="I83" s="25"/>
      <x:c r="J83" s="28"/>
      <x:c r="K83" s="25"/>
      <x:c r="L83" s="25"/>
      <x:c r="M83" s="25"/>
      <x:c r="N83" s="25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5"/>
      <x:c r="B84" s="25"/>
      <x:c r="C84" s="25"/>
      <x:c r="D84" s="25"/>
      <x:c r="E84" s="34"/>
      <x:c r="F84" s="25"/>
      <x:c r="G84" s="25"/>
      <x:c r="H84" s="25"/>
      <x:c r="I84" s="25"/>
      <x:c r="J84" s="28"/>
      <x:c r="K84" s="25"/>
      <x:c r="L84" s="25"/>
      <x:c r="M84" s="25"/>
      <x:c r="N84" s="25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5"/>
      <x:c r="B85" s="25"/>
      <x:c r="C85" s="25"/>
      <x:c r="D85" s="25"/>
      <x:c r="E85" s="34"/>
      <x:c r="F85" s="25"/>
      <x:c r="G85" s="25"/>
      <x:c r="H85" s="25"/>
      <x:c r="I85" s="25"/>
      <x:c r="J85" s="28"/>
      <x:c r="K85" s="25"/>
      <x:c r="L85" s="25"/>
      <x:c r="M85" s="25"/>
      <x:c r="N85" s="25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5"/>
      <x:c r="B86" s="25"/>
      <x:c r="C86" s="25"/>
      <x:c r="D86" s="25"/>
      <x:c r="E86" s="34"/>
      <x:c r="F86" s="25"/>
      <x:c r="G86" s="25"/>
      <x:c r="H86" s="25"/>
      <x:c r="I86" s="25"/>
      <x:c r="J86" s="28"/>
      <x:c r="K86" s="25"/>
      <x:c r="L86" s="25"/>
      <x:c r="M86" s="25"/>
      <x:c r="N86" s="25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5"/>
      <x:c r="B87" s="25"/>
      <x:c r="C87" s="25"/>
      <x:c r="D87" s="25"/>
      <x:c r="E87" s="34"/>
      <x:c r="F87" s="25"/>
      <x:c r="G87" s="25"/>
      <x:c r="H87" s="25"/>
      <x:c r="I87" s="25"/>
      <x:c r="J87" s="28"/>
      <x:c r="K87" s="25"/>
      <x:c r="L87" s="25"/>
      <x:c r="M87" s="25"/>
      <x:c r="N87" s="25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5"/>
      <x:c r="B88" s="25"/>
      <x:c r="C88" s="25"/>
      <x:c r="D88" s="25"/>
      <x:c r="E88" s="34"/>
      <x:c r="F88" s="25"/>
      <x:c r="G88" s="25"/>
      <x:c r="H88" s="25"/>
      <x:c r="I88" s="25"/>
      <x:c r="J88" s="28"/>
      <x:c r="K88" s="25"/>
      <x:c r="L88" s="25"/>
      <x:c r="M88" s="25"/>
      <x:c r="N88" s="25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5"/>
      <x:c r="B89" s="25"/>
      <x:c r="C89" s="25"/>
      <x:c r="D89" s="25"/>
      <x:c r="E89" s="34"/>
      <x:c r="F89" s="25"/>
      <x:c r="G89" s="25"/>
      <x:c r="H89" s="25"/>
      <x:c r="I89" s="25"/>
      <x:c r="J89" s="28"/>
      <x:c r="K89" s="25"/>
      <x:c r="L89" s="25"/>
      <x:c r="M89" s="25"/>
      <x:c r="N89" s="25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5"/>
      <x:c r="B90" s="25"/>
      <x:c r="C90" s="25"/>
      <x:c r="D90" s="25"/>
      <x:c r="E90" s="34"/>
      <x:c r="F90" s="25"/>
      <x:c r="G90" s="25"/>
      <x:c r="H90" s="25"/>
      <x:c r="I90" s="25"/>
      <x:c r="J90" s="28"/>
      <x:c r="K90" s="25"/>
      <x:c r="L90" s="25"/>
      <x:c r="M90" s="25"/>
      <x:c r="N90" s="25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5"/>
      <x:c r="B91" s="25"/>
      <x:c r="C91" s="25"/>
      <x:c r="D91" s="25"/>
      <x:c r="E91" s="34"/>
      <x:c r="F91" s="25"/>
      <x:c r="G91" s="25"/>
      <x:c r="H91" s="25"/>
      <x:c r="I91" s="25"/>
      <x:c r="J91" s="28"/>
      <x:c r="K91" s="25"/>
      <x:c r="L91" s="25"/>
      <x:c r="M91" s="25"/>
      <x:c r="N91" s="25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5"/>
      <x:c r="B92" s="25"/>
      <x:c r="C92" s="25"/>
      <x:c r="D92" s="25"/>
      <x:c r="E92" s="34"/>
      <x:c r="F92" s="25"/>
      <x:c r="G92" s="25"/>
      <x:c r="H92" s="25"/>
      <x:c r="I92" s="25"/>
      <x:c r="J92" s="28"/>
      <x:c r="K92" s="25"/>
      <x:c r="L92" s="25"/>
      <x:c r="M92" s="25"/>
      <x:c r="N92" s="25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5"/>
      <x:c r="B93" s="25"/>
      <x:c r="C93" s="25"/>
      <x:c r="D93" s="25"/>
      <x:c r="E93" s="34"/>
      <x:c r="F93" s="25"/>
      <x:c r="G93" s="25"/>
      <x:c r="H93" s="25"/>
      <x:c r="I93" s="25"/>
      <x:c r="J93" s="28"/>
      <x:c r="K93" s="25"/>
      <x:c r="L93" s="25"/>
      <x:c r="M93" s="25"/>
      <x:c r="N93" s="25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5"/>
      <x:c r="B94" s="25"/>
      <x:c r="C94" s="25"/>
      <x:c r="D94" s="25"/>
      <x:c r="E94" s="34"/>
      <x:c r="F94" s="25"/>
      <x:c r="G94" s="25"/>
      <x:c r="H94" s="25"/>
      <x:c r="I94" s="25"/>
      <x:c r="J94" s="28"/>
      <x:c r="K94" s="25"/>
      <x:c r="L94" s="25"/>
      <x:c r="M94" s="25"/>
      <x:c r="N94" s="25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5"/>
      <x:c r="B95" s="25"/>
      <x:c r="C95" s="25"/>
      <x:c r="D95" s="25"/>
      <x:c r="E95" s="34"/>
      <x:c r="F95" s="25"/>
      <x:c r="G95" s="25"/>
      <x:c r="H95" s="25"/>
      <x:c r="I95" s="25"/>
      <x:c r="J95" s="28"/>
      <x:c r="K95" s="25"/>
      <x:c r="L95" s="25"/>
      <x:c r="M95" s="25"/>
      <x:c r="N95" s="25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5"/>
      <x:c r="B96" s="25"/>
      <x:c r="C96" s="25"/>
      <x:c r="D96" s="25"/>
      <x:c r="E96" s="34"/>
      <x:c r="F96" s="25"/>
      <x:c r="G96" s="25"/>
      <x:c r="H96" s="25"/>
      <x:c r="I96" s="25"/>
      <x:c r="J96" s="28"/>
      <x:c r="K96" s="25"/>
      <x:c r="L96" s="25"/>
      <x:c r="M96" s="25"/>
      <x:c r="N96" s="25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5"/>
      <x:c r="B97" s="25"/>
      <x:c r="C97" s="25"/>
      <x:c r="D97" s="25"/>
      <x:c r="E97" s="34"/>
      <x:c r="F97" s="25"/>
      <x:c r="G97" s="25"/>
      <x:c r="H97" s="25"/>
      <x:c r="I97" s="25"/>
      <x:c r="J97" s="28"/>
      <x:c r="K97" s="25"/>
      <x:c r="L97" s="25"/>
      <x:c r="M97" s="25"/>
      <x:c r="N97" s="25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5"/>
      <x:c r="B98" s="25"/>
      <x:c r="C98" s="25"/>
      <x:c r="D98" s="25"/>
      <x:c r="E98" s="34"/>
      <x:c r="F98" s="25"/>
      <x:c r="G98" s="25"/>
      <x:c r="H98" s="25"/>
      <x:c r="I98" s="25"/>
      <x:c r="J98" s="28"/>
      <x:c r="K98" s="25"/>
      <x:c r="L98" s="25"/>
      <x:c r="M98" s="25"/>
      <x:c r="N98" s="25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5"/>
      <x:c r="B99" s="25"/>
      <x:c r="C99" s="25"/>
      <x:c r="D99" s="25"/>
      <x:c r="E99" s="34"/>
      <x:c r="F99" s="25"/>
      <x:c r="G99" s="25"/>
      <x:c r="H99" s="25"/>
      <x:c r="I99" s="25"/>
      <x:c r="J99" s="28"/>
      <x:c r="K99" s="25"/>
      <x:c r="L99" s="25"/>
      <x:c r="M99" s="25"/>
      <x:c r="N99" s="25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5"/>
      <x:c r="B100" s="25"/>
      <x:c r="C100" s="25"/>
      <x:c r="D100" s="25"/>
      <x:c r="E100" s="34"/>
      <x:c r="F100" s="25"/>
      <x:c r="G100" s="25"/>
      <x:c r="H100" s="25"/>
      <x:c r="I100" s="25"/>
      <x:c r="J100" s="28"/>
      <x:c r="K100" s="25"/>
      <x:c r="L100" s="25"/>
      <x:c r="M100" s="25"/>
      <x:c r="N100" s="25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5"/>
      <x:c r="B101" s="25"/>
      <x:c r="C101" s="25"/>
      <x:c r="D101" s="25"/>
      <x:c r="E101" s="34"/>
      <x:c r="F101" s="25"/>
      <x:c r="G101" s="25"/>
      <x:c r="H101" s="25"/>
      <x:c r="I101" s="25"/>
      <x:c r="J101" s="28"/>
      <x:c r="K101" s="25"/>
      <x:c r="L101" s="25"/>
      <x:c r="M101" s="25"/>
      <x:c r="N101" s="25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5"/>
      <x:c r="B102" s="25"/>
      <x:c r="C102" s="25"/>
      <x:c r="D102" s="25"/>
      <x:c r="E102" s="34"/>
      <x:c r="F102" s="25"/>
      <x:c r="G102" s="25"/>
      <x:c r="H102" s="25"/>
      <x:c r="I102" s="25"/>
      <x:c r="J102" s="28"/>
      <x:c r="K102" s="25"/>
      <x:c r="L102" s="25"/>
      <x:c r="M102" s="25"/>
      <x:c r="N102" s="25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N1"/>
  </x:mergeCells>
  <x:dataValidations count="3">
    <x:dataValidation type="list" sqref="D3:D102">
      <x:formula1>"Recruiter Screen,Technical Screen,Portfolio Review,Take-home,Live Coding,Final,Offer"</x:formula1>
    </x:dataValidation>
    <x:dataValidation type="list" sqref="H3:H102">
      <x:formula1>"Not Started,In Progress,Ready,Needs Work"</x:formula1>
    </x:dataValidation>
    <x:dataValidation type="list" sqref="I3:I102">
      <x:formula1>"Pending,Passed,Rejected,Offer,Withdrawn"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eaec82e6ab41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0" hidden="0" customWidth="1"/>
    <x:col min="12" max="12" width="16" hidden="0" customWidth="1"/>
    <x:col min="13" max="13" width="16" hidden="0" customWidth="1"/>
    <x:col min="14" max="14" width="18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32" hidden="0" customWidth="1"/>
    <x:col min="20" max="20" width="32" hidden="0" customWidth="1"/>
    <x:col min="21" max="21" width="40" hidden="0" customWidth="1"/>
  </x:cols>
  <x:sheetData>
    <x:row r="1" ht="28" customHeight="1">
      <x:c r="A1" s="20" t="str">
        <x:v>Offer Evaluation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Offer ID</x:v>
      </x:c>
      <x:c r="B2" s="24" t="str">
        <x:v>Company</x:v>
      </x:c>
      <x:c r="C2" s="24" t="str">
        <x:v>Role</x:v>
      </x:c>
      <x:c r="D2" s="24" t="str">
        <x:v>Offer Date</x:v>
      </x:c>
      <x:c r="E2" s="24" t="str">
        <x:v>Type</x:v>
      </x:c>
      <x:c r="F2" s="24" t="str">
        <x:v>Currency</x:v>
      </x:c>
      <x:c r="G2" s="24" t="str">
        <x:v>Gross Monthly</x:v>
      </x:c>
      <x:c r="H2" s="24" t="str">
        <x:v>Estimated Net</x:v>
      </x:c>
      <x:c r="I2" s="24" t="str">
        <x:v>Gross Score</x:v>
      </x:c>
      <x:c r="J2" s="24" t="str">
        <x:v>Net Score</x:v>
      </x:c>
      <x:c r="K2" s="24" t="str">
        <x:v>Role Fit</x:v>
      </x:c>
      <x:c r="L2" s="24" t="str">
        <x:v>Portfolio Leverage</x:v>
      </x:c>
      <x:c r="M2" s="24" t="str">
        <x:v>Contract Clarity</x:v>
      </x:c>
      <x:c r="N2" s="24" t="str">
        <x:v>Payment Reliability</x:v>
      </x:c>
      <x:c r="O2" s="24" t="str">
        <x:v>Remote Feasibility</x:v>
      </x:c>
      <x:c r="P2" s="24" t="str">
        <x:v>Growth ROI</x:v>
      </x:c>
      <x:c r="Q2" s="24" t="str">
        <x:v>Weighted Score</x:v>
      </x:c>
      <x:c r="R2" s="24" t="str">
        <x:v>Decision</x:v>
      </x:c>
      <x:c r="S2" s="24" t="str">
        <x:v>Red Flags</x:v>
      </x:c>
      <x:c r="T2" s="24" t="str">
        <x:v>Negotiation Points</x:v>
      </x:c>
      <x:c r="U2" s="24" t="str">
        <x:v>Notes</x:v>
      </x:c>
      <x:c r="V2" s="21"/>
      <x:c r="W2" s="21"/>
      <x:c r="X2" s="21"/>
      <x:c r="Y2" s="21"/>
      <x:c r="Z2" s="21"/>
    </x:row>
    <x:row r="3">
      <x:c r="A3" s="25" t="str">
        <x:v>OFF-001</x:v>
      </x:c>
      <x:c r="B3" s="25" t="str">
        <x:v>Example Co</x:v>
      </x:c>
      <x:c r="C3" s="25" t="str">
        <x:v>Unity WebGL Developer</x:v>
      </x:c>
      <x:c r="D3" s="28" t="n">
        <x:v>46184.85428518518</x:v>
      </x:c>
      <x:c r="E3" s="25" t="str">
        <x:v>Contractor</x:v>
      </x:c>
      <x:c r="F3" s="25" t="str">
        <x:v>USD</x:v>
      </x:c>
      <x:c r="G3" s="30" t="n">
        <x:v>3000</x:v>
      </x:c>
      <x:c r="H3" s="30" t="n">
        <x:v>2200</x:v>
      </x:c>
      <x:c r="I3" s="32" t="n">
        <x:v>4</x:v>
      </x:c>
      <x:c r="J3" s="32" t="n">
        <x:v>3</x:v>
      </x:c>
      <x:c r="K3" s="32" t="n">
        <x:v>5</x:v>
      </x:c>
      <x:c r="L3" s="32" t="n">
        <x:v>5</x:v>
      </x:c>
      <x:c r="M3" s="32" t="n">
        <x:v>4</x:v>
      </x:c>
      <x:c r="N3" s="32" t="n">
        <x:v>4</x:v>
      </x:c>
      <x:c r="O3" s="32" t="n">
        <x:v>5</x:v>
      </x:c>
      <x:c r="P3" s="32" t="n">
        <x:v>4</x:v>
      </x:c>
      <x:c r="Q3" s="32" t="n">
        <x:f>IF(COUNTA(I3:P3)=0,"",ROUND(((I3*15)+(J3*15)+(K3*20)+(L3*15)+(M3*10)+(N3*10)+(O3*10)+(P3*5))/100,2))</x:f>
        <x:v>4.3</x:v>
      </x:c>
      <x:c r="R3" s="25" t="str">
        <x:v>Need Info</x:v>
      </x:c>
      <x:c r="S3" s="25" t="str">
        <x:v>None yet</x:v>
      </x:c>
      <x:c r="T3" s="25" t="str">
        <x:v>Clarify IP/payment terms</x:v>
      </x:c>
      <x:c r="U3" s="25" t="str">
        <x:v>Sample only</x:v>
      </x:c>
      <x:c r="V3" s="21"/>
      <x:c r="W3" s="21"/>
      <x:c r="X3" s="21"/>
      <x:c r="Y3" s="21"/>
      <x:c r="Z3" s="21"/>
    </x:row>
    <x:row r="4">
      <x:c r="A4" s="25"/>
      <x:c r="B4" s="25"/>
      <x:c r="C4" s="25"/>
      <x:c r="D4" s="28"/>
      <x:c r="E4" s="25"/>
      <x:c r="F4" s="25"/>
      <x:c r="G4" s="30"/>
      <x:c r="H4" s="30"/>
      <x:c r="I4" s="32"/>
      <x:c r="J4" s="32"/>
      <x:c r="K4" s="32"/>
      <x:c r="L4" s="32"/>
      <x:c r="M4" s="32"/>
      <x:c r="N4" s="32"/>
      <x:c r="O4" s="32"/>
      <x:c r="P4" s="32"/>
      <x:c r="Q4" s="32" t="str">
        <x:f>IF(COUNTA(I4:P4)=0,"",ROUND(((I4*15)+(J4*15)+(K4*20)+(L4*15)+(M4*10)+(N4*10)+(O4*10)+(P4*5))/100,2))</x:f>
      </x:c>
      <x:c r="R4" s="25"/>
      <x:c r="S4" s="25"/>
      <x:c r="T4" s="25"/>
      <x:c r="U4" s="25"/>
      <x:c r="V4" s="21"/>
      <x:c r="W4" s="21"/>
      <x:c r="X4" s="21"/>
      <x:c r="Y4" s="21"/>
      <x:c r="Z4" s="21"/>
    </x:row>
    <x:row r="5">
      <x:c r="A5" s="25"/>
      <x:c r="B5" s="25"/>
      <x:c r="C5" s="25"/>
      <x:c r="D5" s="28"/>
      <x:c r="E5" s="25"/>
      <x:c r="F5" s="25"/>
      <x:c r="G5" s="30"/>
      <x:c r="H5" s="30"/>
      <x:c r="I5" s="32"/>
      <x:c r="J5" s="32"/>
      <x:c r="K5" s="32"/>
      <x:c r="L5" s="32"/>
      <x:c r="M5" s="32"/>
      <x:c r="N5" s="32"/>
      <x:c r="O5" s="32"/>
      <x:c r="P5" s="32"/>
      <x:c r="Q5" s="32" t="str">
        <x:f>IF(COUNTA(I5:P5)=0,"",ROUND(((I5*15)+(J5*15)+(K5*20)+(L5*15)+(M5*10)+(N5*10)+(O5*10)+(P5*5))/100,2))</x:f>
      </x:c>
      <x:c r="R5" s="25"/>
      <x:c r="S5" s="25"/>
      <x:c r="T5" s="25"/>
      <x:c r="U5" s="25"/>
      <x:c r="V5" s="21"/>
      <x:c r="W5" s="21"/>
      <x:c r="X5" s="21"/>
      <x:c r="Y5" s="21"/>
      <x:c r="Z5" s="21"/>
    </x:row>
    <x:row r="6">
      <x:c r="A6" s="25"/>
      <x:c r="B6" s="25"/>
      <x:c r="C6" s="25"/>
      <x:c r="D6" s="28"/>
      <x:c r="E6" s="25"/>
      <x:c r="F6" s="25"/>
      <x:c r="G6" s="30"/>
      <x:c r="H6" s="30"/>
      <x:c r="I6" s="32"/>
      <x:c r="J6" s="32"/>
      <x:c r="K6" s="32"/>
      <x:c r="L6" s="32"/>
      <x:c r="M6" s="32"/>
      <x:c r="N6" s="32"/>
      <x:c r="O6" s="32"/>
      <x:c r="P6" s="32"/>
      <x:c r="Q6" s="32" t="str">
        <x:f>IF(COUNTA(I6:P6)=0,"",ROUND(((I6*15)+(J6*15)+(K6*20)+(L6*15)+(M6*10)+(N6*10)+(O6*10)+(P6*5))/100,2))</x:f>
      </x:c>
      <x:c r="R6" s="25"/>
      <x:c r="S6" s="25"/>
      <x:c r="T6" s="25"/>
      <x:c r="U6" s="25"/>
      <x:c r="V6" s="21"/>
      <x:c r="W6" s="21"/>
      <x:c r="X6" s="21"/>
      <x:c r="Y6" s="21"/>
      <x:c r="Z6" s="21"/>
    </x:row>
    <x:row r="7">
      <x:c r="A7" s="25"/>
      <x:c r="B7" s="25"/>
      <x:c r="C7" s="25"/>
      <x:c r="D7" s="28"/>
      <x:c r="E7" s="25"/>
      <x:c r="F7" s="25"/>
      <x:c r="G7" s="30"/>
      <x:c r="H7" s="30"/>
      <x:c r="I7" s="32"/>
      <x:c r="J7" s="32"/>
      <x:c r="K7" s="32"/>
      <x:c r="L7" s="32"/>
      <x:c r="M7" s="32"/>
      <x:c r="N7" s="32"/>
      <x:c r="O7" s="32"/>
      <x:c r="P7" s="32"/>
      <x:c r="Q7" s="32" t="str">
        <x:f>IF(COUNTA(I7:P7)=0,"",ROUND(((I7*15)+(J7*15)+(K7*20)+(L7*15)+(M7*10)+(N7*10)+(O7*10)+(P7*5))/100,2))</x:f>
      </x:c>
      <x:c r="R7" s="25"/>
      <x:c r="S7" s="25"/>
      <x:c r="T7" s="25"/>
      <x:c r="U7" s="25"/>
      <x:c r="V7" s="21"/>
      <x:c r="W7" s="21"/>
      <x:c r="X7" s="21"/>
      <x:c r="Y7" s="21"/>
      <x:c r="Z7" s="21"/>
    </x:row>
    <x:row r="8">
      <x:c r="A8" s="25"/>
      <x:c r="B8" s="25"/>
      <x:c r="C8" s="25"/>
      <x:c r="D8" s="28"/>
      <x:c r="E8" s="25"/>
      <x:c r="F8" s="25"/>
      <x:c r="G8" s="30"/>
      <x:c r="H8" s="30"/>
      <x:c r="I8" s="32"/>
      <x:c r="J8" s="32"/>
      <x:c r="K8" s="32"/>
      <x:c r="L8" s="32"/>
      <x:c r="M8" s="32"/>
      <x:c r="N8" s="32"/>
      <x:c r="O8" s="32"/>
      <x:c r="P8" s="32"/>
      <x:c r="Q8" s="32" t="str">
        <x:f>IF(COUNTA(I8:P8)=0,"",ROUND(((I8*15)+(J8*15)+(K8*20)+(L8*15)+(M8*10)+(N8*10)+(O8*10)+(P8*5))/100,2))</x:f>
      </x:c>
      <x:c r="R8" s="25"/>
      <x:c r="S8" s="25"/>
      <x:c r="T8" s="25"/>
      <x:c r="U8" s="25"/>
      <x:c r="V8" s="21"/>
      <x:c r="W8" s="21"/>
      <x:c r="X8" s="21"/>
      <x:c r="Y8" s="21"/>
      <x:c r="Z8" s="21"/>
    </x:row>
    <x:row r="9">
      <x:c r="A9" s="25"/>
      <x:c r="B9" s="25"/>
      <x:c r="C9" s="25"/>
      <x:c r="D9" s="28"/>
      <x:c r="E9" s="25"/>
      <x:c r="F9" s="25"/>
      <x:c r="G9" s="30"/>
      <x:c r="H9" s="30"/>
      <x:c r="I9" s="32"/>
      <x:c r="J9" s="32"/>
      <x:c r="K9" s="32"/>
      <x:c r="L9" s="32"/>
      <x:c r="M9" s="32"/>
      <x:c r="N9" s="32"/>
      <x:c r="O9" s="32"/>
      <x:c r="P9" s="32"/>
      <x:c r="Q9" s="32" t="str">
        <x:f>IF(COUNTA(I9:P9)=0,"",ROUND(((I9*15)+(J9*15)+(K9*20)+(L9*15)+(M9*10)+(N9*10)+(O9*10)+(P9*5))/100,2))</x:f>
      </x:c>
      <x:c r="R9" s="25"/>
      <x:c r="S9" s="25"/>
      <x:c r="T9" s="25"/>
      <x:c r="U9" s="25"/>
      <x:c r="V9" s="21"/>
      <x:c r="W9" s="21"/>
      <x:c r="X9" s="21"/>
      <x:c r="Y9" s="21"/>
      <x:c r="Z9" s="21"/>
    </x:row>
    <x:row r="10">
      <x:c r="A10" s="25"/>
      <x:c r="B10" s="25"/>
      <x:c r="C10" s="25"/>
      <x:c r="D10" s="28"/>
      <x:c r="E10" s="25"/>
      <x:c r="F10" s="25"/>
      <x:c r="G10" s="30"/>
      <x:c r="H10" s="30"/>
      <x:c r="I10" s="32"/>
      <x:c r="J10" s="32"/>
      <x:c r="K10" s="32"/>
      <x:c r="L10" s="32"/>
      <x:c r="M10" s="32"/>
      <x:c r="N10" s="32"/>
      <x:c r="O10" s="32"/>
      <x:c r="P10" s="32"/>
      <x:c r="Q10" s="32" t="str">
        <x:f>IF(COUNTA(I10:P10)=0,"",ROUND(((I10*15)+(J10*15)+(K10*20)+(L10*15)+(M10*10)+(N10*10)+(O10*10)+(P10*5))/100,2))</x:f>
      </x:c>
      <x:c r="R10" s="25"/>
      <x:c r="S10" s="25"/>
      <x:c r="T10" s="25"/>
      <x:c r="U10" s="25"/>
      <x:c r="V10" s="21"/>
      <x:c r="W10" s="21"/>
      <x:c r="X10" s="21"/>
      <x:c r="Y10" s="21"/>
      <x:c r="Z10" s="21"/>
    </x:row>
    <x:row r="11">
      <x:c r="A11" s="25"/>
      <x:c r="B11" s="25"/>
      <x:c r="C11" s="25"/>
      <x:c r="D11" s="28"/>
      <x:c r="E11" s="25"/>
      <x:c r="F11" s="25"/>
      <x:c r="G11" s="30"/>
      <x:c r="H11" s="30"/>
      <x:c r="I11" s="32"/>
      <x:c r="J11" s="32"/>
      <x:c r="K11" s="32"/>
      <x:c r="L11" s="32"/>
      <x:c r="M11" s="32"/>
      <x:c r="N11" s="32"/>
      <x:c r="O11" s="32"/>
      <x:c r="P11" s="32"/>
      <x:c r="Q11" s="32" t="str">
        <x:f>IF(COUNTA(I11:P11)=0,"",ROUND(((I11*15)+(J11*15)+(K11*20)+(L11*15)+(M11*10)+(N11*10)+(O11*10)+(P11*5))/100,2))</x:f>
      </x:c>
      <x:c r="R11" s="25"/>
      <x:c r="S11" s="25"/>
      <x:c r="T11" s="25"/>
      <x:c r="U11" s="25"/>
      <x:c r="V11" s="21"/>
      <x:c r="W11" s="21"/>
      <x:c r="X11" s="21"/>
      <x:c r="Y11" s="21"/>
      <x:c r="Z11" s="21"/>
    </x:row>
    <x:row r="12">
      <x:c r="A12" s="25"/>
      <x:c r="B12" s="25"/>
      <x:c r="C12" s="25"/>
      <x:c r="D12" s="28"/>
      <x:c r="E12" s="25"/>
      <x:c r="F12" s="25"/>
      <x:c r="G12" s="30"/>
      <x:c r="H12" s="30"/>
      <x:c r="I12" s="32"/>
      <x:c r="J12" s="32"/>
      <x:c r="K12" s="32"/>
      <x:c r="L12" s="32"/>
      <x:c r="M12" s="32"/>
      <x:c r="N12" s="32"/>
      <x:c r="O12" s="32"/>
      <x:c r="P12" s="32"/>
      <x:c r="Q12" s="32" t="str">
        <x:f>IF(COUNTA(I12:P12)=0,"",ROUND(((I12*15)+(J12*15)+(K12*20)+(L12*15)+(M12*10)+(N12*10)+(O12*10)+(P12*5))/100,2))</x:f>
      </x:c>
      <x:c r="R12" s="25"/>
      <x:c r="S12" s="25"/>
      <x:c r="T12" s="25"/>
      <x:c r="U12" s="25"/>
      <x:c r="V12" s="21"/>
      <x:c r="W12" s="21"/>
      <x:c r="X12" s="21"/>
      <x:c r="Y12" s="21"/>
      <x:c r="Z12" s="21"/>
    </x:row>
    <x:row r="13">
      <x:c r="A13" s="25"/>
      <x:c r="B13" s="25"/>
      <x:c r="C13" s="25"/>
      <x:c r="D13" s="28"/>
      <x:c r="E13" s="25"/>
      <x:c r="F13" s="25"/>
      <x:c r="G13" s="30"/>
      <x:c r="H13" s="30"/>
      <x:c r="I13" s="32"/>
      <x:c r="J13" s="32"/>
      <x:c r="K13" s="32"/>
      <x:c r="L13" s="32"/>
      <x:c r="M13" s="32"/>
      <x:c r="N13" s="32"/>
      <x:c r="O13" s="32"/>
      <x:c r="P13" s="32"/>
      <x:c r="Q13" s="32" t="str">
        <x:f>IF(COUNTA(I13:P13)=0,"",ROUND(((I13*15)+(J13*15)+(K13*20)+(L13*15)+(M13*10)+(N13*10)+(O13*10)+(P13*5))/100,2))</x:f>
      </x:c>
      <x:c r="R13" s="25"/>
      <x:c r="S13" s="25"/>
      <x:c r="T13" s="25"/>
      <x:c r="U13" s="25"/>
      <x:c r="V13" s="21"/>
      <x:c r="W13" s="21"/>
      <x:c r="X13" s="21"/>
      <x:c r="Y13" s="21"/>
      <x:c r="Z13" s="21"/>
    </x:row>
    <x:row r="14">
      <x:c r="A14" s="25"/>
      <x:c r="B14" s="25"/>
      <x:c r="C14" s="25"/>
      <x:c r="D14" s="28"/>
      <x:c r="E14" s="25"/>
      <x:c r="F14" s="25"/>
      <x:c r="G14" s="30"/>
      <x:c r="H14" s="30"/>
      <x:c r="I14" s="32"/>
      <x:c r="J14" s="32"/>
      <x:c r="K14" s="32"/>
      <x:c r="L14" s="32"/>
      <x:c r="M14" s="32"/>
      <x:c r="N14" s="32"/>
      <x:c r="O14" s="32"/>
      <x:c r="P14" s="32"/>
      <x:c r="Q14" s="32" t="str">
        <x:f>IF(COUNTA(I14:P14)=0,"",ROUND(((I14*15)+(J14*15)+(K14*20)+(L14*15)+(M14*10)+(N14*10)+(O14*10)+(P14*5))/100,2))</x:f>
      </x:c>
      <x:c r="R14" s="25"/>
      <x:c r="S14" s="25"/>
      <x:c r="T14" s="25"/>
      <x:c r="U14" s="25"/>
      <x:c r="V14" s="21"/>
      <x:c r="W14" s="21"/>
      <x:c r="X14" s="21"/>
      <x:c r="Y14" s="21"/>
      <x:c r="Z14" s="21"/>
    </x:row>
    <x:row r="15">
      <x:c r="A15" s="25"/>
      <x:c r="B15" s="25"/>
      <x:c r="C15" s="25"/>
      <x:c r="D15" s="28"/>
      <x:c r="E15" s="25"/>
      <x:c r="F15" s="25"/>
      <x:c r="G15" s="30"/>
      <x:c r="H15" s="30"/>
      <x:c r="I15" s="32"/>
      <x:c r="J15" s="32"/>
      <x:c r="K15" s="32"/>
      <x:c r="L15" s="32"/>
      <x:c r="M15" s="32"/>
      <x:c r="N15" s="32"/>
      <x:c r="O15" s="32"/>
      <x:c r="P15" s="32"/>
      <x:c r="Q15" s="32" t="str">
        <x:f>IF(COUNTA(I15:P15)=0,"",ROUND(((I15*15)+(J15*15)+(K15*20)+(L15*15)+(M15*10)+(N15*10)+(O15*10)+(P15*5))/100,2))</x:f>
      </x:c>
      <x:c r="R15" s="25"/>
      <x:c r="S15" s="25"/>
      <x:c r="T15" s="25"/>
      <x:c r="U15" s="25"/>
      <x:c r="V15" s="21"/>
      <x:c r="W15" s="21"/>
      <x:c r="X15" s="21"/>
      <x:c r="Y15" s="21"/>
      <x:c r="Z15" s="21"/>
    </x:row>
    <x:row r="16">
      <x:c r="A16" s="25"/>
      <x:c r="B16" s="25"/>
      <x:c r="C16" s="25"/>
      <x:c r="D16" s="28"/>
      <x:c r="E16" s="25"/>
      <x:c r="F16" s="25"/>
      <x:c r="G16" s="30"/>
      <x:c r="H16" s="30"/>
      <x:c r="I16" s="32"/>
      <x:c r="J16" s="32"/>
      <x:c r="K16" s="32"/>
      <x:c r="L16" s="32"/>
      <x:c r="M16" s="32"/>
      <x:c r="N16" s="32"/>
      <x:c r="O16" s="32"/>
      <x:c r="P16" s="32"/>
      <x:c r="Q16" s="32" t="str">
        <x:f>IF(COUNTA(I16:P16)=0,"",ROUND(((I16*15)+(J16*15)+(K16*20)+(L16*15)+(M16*10)+(N16*10)+(O16*10)+(P16*5))/100,2))</x:f>
      </x:c>
      <x:c r="R16" s="25"/>
      <x:c r="S16" s="25"/>
      <x:c r="T16" s="25"/>
      <x:c r="U16" s="25"/>
      <x:c r="V16" s="21"/>
      <x:c r="W16" s="21"/>
      <x:c r="X16" s="21"/>
      <x:c r="Y16" s="21"/>
      <x:c r="Z16" s="21"/>
    </x:row>
    <x:row r="17">
      <x:c r="A17" s="25"/>
      <x:c r="B17" s="25"/>
      <x:c r="C17" s="25"/>
      <x:c r="D17" s="28"/>
      <x:c r="E17" s="25"/>
      <x:c r="F17" s="25"/>
      <x:c r="G17" s="30"/>
      <x:c r="H17" s="30"/>
      <x:c r="I17" s="32"/>
      <x:c r="J17" s="32"/>
      <x:c r="K17" s="32"/>
      <x:c r="L17" s="32"/>
      <x:c r="M17" s="32"/>
      <x:c r="N17" s="32"/>
      <x:c r="O17" s="32"/>
      <x:c r="P17" s="32"/>
      <x:c r="Q17" s="32" t="str">
        <x:f>IF(COUNTA(I17:P17)=0,"",ROUND(((I17*15)+(J17*15)+(K17*20)+(L17*15)+(M17*10)+(N17*10)+(O17*10)+(P17*5))/100,2))</x:f>
      </x:c>
      <x:c r="R17" s="25"/>
      <x:c r="S17" s="25"/>
      <x:c r="T17" s="25"/>
      <x:c r="U17" s="25"/>
      <x:c r="V17" s="21"/>
      <x:c r="W17" s="21"/>
      <x:c r="X17" s="21"/>
      <x:c r="Y17" s="21"/>
      <x:c r="Z17" s="21"/>
    </x:row>
    <x:row r="18">
      <x:c r="A18" s="25"/>
      <x:c r="B18" s="25"/>
      <x:c r="C18" s="25"/>
      <x:c r="D18" s="28"/>
      <x:c r="E18" s="25"/>
      <x:c r="F18" s="25"/>
      <x:c r="G18" s="30"/>
      <x:c r="H18" s="30"/>
      <x:c r="I18" s="32"/>
      <x:c r="J18" s="32"/>
      <x:c r="K18" s="32"/>
      <x:c r="L18" s="32"/>
      <x:c r="M18" s="32"/>
      <x:c r="N18" s="32"/>
      <x:c r="O18" s="32"/>
      <x:c r="P18" s="32"/>
      <x:c r="Q18" s="32" t="str">
        <x:f>IF(COUNTA(I18:P18)=0,"",ROUND(((I18*15)+(J18*15)+(K18*20)+(L18*15)+(M18*10)+(N18*10)+(O18*10)+(P18*5))/100,2))</x:f>
      </x:c>
      <x:c r="R18" s="25"/>
      <x:c r="S18" s="25"/>
      <x:c r="T18" s="25"/>
      <x:c r="U18" s="25"/>
      <x:c r="V18" s="21"/>
      <x:c r="W18" s="21"/>
      <x:c r="X18" s="21"/>
      <x:c r="Y18" s="21"/>
      <x:c r="Z18" s="21"/>
    </x:row>
    <x:row r="19">
      <x:c r="A19" s="25"/>
      <x:c r="B19" s="25"/>
      <x:c r="C19" s="25"/>
      <x:c r="D19" s="28"/>
      <x:c r="E19" s="25"/>
      <x:c r="F19" s="25"/>
      <x:c r="G19" s="30"/>
      <x:c r="H19" s="30"/>
      <x:c r="I19" s="32"/>
      <x:c r="J19" s="32"/>
      <x:c r="K19" s="32"/>
      <x:c r="L19" s="32"/>
      <x:c r="M19" s="32"/>
      <x:c r="N19" s="32"/>
      <x:c r="O19" s="32"/>
      <x:c r="P19" s="32"/>
      <x:c r="Q19" s="32" t="str">
        <x:f>IF(COUNTA(I19:P19)=0,"",ROUND(((I19*15)+(J19*15)+(K19*20)+(L19*15)+(M19*10)+(N19*10)+(O19*10)+(P19*5))/100,2))</x:f>
      </x:c>
      <x:c r="R19" s="25"/>
      <x:c r="S19" s="25"/>
      <x:c r="T19" s="25"/>
      <x:c r="U19" s="25"/>
      <x:c r="V19" s="21"/>
      <x:c r="W19" s="21"/>
      <x:c r="X19" s="21"/>
      <x:c r="Y19" s="21"/>
      <x:c r="Z19" s="21"/>
    </x:row>
    <x:row r="20">
      <x:c r="A20" s="25"/>
      <x:c r="B20" s="25"/>
      <x:c r="C20" s="25"/>
      <x:c r="D20" s="28"/>
      <x:c r="E20" s="25"/>
      <x:c r="F20" s="25"/>
      <x:c r="G20" s="30"/>
      <x:c r="H20" s="30"/>
      <x:c r="I20" s="32"/>
      <x:c r="J20" s="32"/>
      <x:c r="K20" s="32"/>
      <x:c r="L20" s="32"/>
      <x:c r="M20" s="32"/>
      <x:c r="N20" s="32"/>
      <x:c r="O20" s="32"/>
      <x:c r="P20" s="32"/>
      <x:c r="Q20" s="32" t="str">
        <x:f>IF(COUNTA(I20:P20)=0,"",ROUND(((I20*15)+(J20*15)+(K20*20)+(L20*15)+(M20*10)+(N20*10)+(O20*10)+(P20*5))/100,2))</x:f>
      </x:c>
      <x:c r="R20" s="25"/>
      <x:c r="S20" s="25"/>
      <x:c r="T20" s="25"/>
      <x:c r="U20" s="25"/>
      <x:c r="V20" s="21"/>
      <x:c r="W20" s="21"/>
      <x:c r="X20" s="21"/>
      <x:c r="Y20" s="21"/>
      <x:c r="Z20" s="21"/>
    </x:row>
    <x:row r="21">
      <x:c r="A21" s="25"/>
      <x:c r="B21" s="25"/>
      <x:c r="C21" s="25"/>
      <x:c r="D21" s="28"/>
      <x:c r="E21" s="25"/>
      <x:c r="F21" s="25"/>
      <x:c r="G21" s="30"/>
      <x:c r="H21" s="30"/>
      <x:c r="I21" s="32"/>
      <x:c r="J21" s="32"/>
      <x:c r="K21" s="32"/>
      <x:c r="L21" s="32"/>
      <x:c r="M21" s="32"/>
      <x:c r="N21" s="32"/>
      <x:c r="O21" s="32"/>
      <x:c r="P21" s="32"/>
      <x:c r="Q21" s="32" t="str">
        <x:f>IF(COUNTA(I21:P21)=0,"",ROUND(((I21*15)+(J21*15)+(K21*20)+(L21*15)+(M21*10)+(N21*10)+(O21*10)+(P21*5))/100,2))</x:f>
      </x:c>
      <x:c r="R21" s="25"/>
      <x:c r="S21" s="25"/>
      <x:c r="T21" s="25"/>
      <x:c r="U21" s="25"/>
      <x:c r="V21" s="21"/>
      <x:c r="W21" s="21"/>
      <x:c r="X21" s="21"/>
      <x:c r="Y21" s="21"/>
      <x:c r="Z21" s="21"/>
    </x:row>
    <x:row r="22">
      <x:c r="A22" s="25"/>
      <x:c r="B22" s="25"/>
      <x:c r="C22" s="25"/>
      <x:c r="D22" s="28"/>
      <x:c r="E22" s="25"/>
      <x:c r="F22" s="25"/>
      <x:c r="G22" s="30"/>
      <x:c r="H22" s="30"/>
      <x:c r="I22" s="32"/>
      <x:c r="J22" s="32"/>
      <x:c r="K22" s="32"/>
      <x:c r="L22" s="32"/>
      <x:c r="M22" s="32"/>
      <x:c r="N22" s="32"/>
      <x:c r="O22" s="32"/>
      <x:c r="P22" s="32"/>
      <x:c r="Q22" s="32" t="str">
        <x:f>IF(COUNTA(I22:P22)=0,"",ROUND(((I22*15)+(J22*15)+(K22*20)+(L22*15)+(M22*10)+(N22*10)+(O22*10)+(P22*5))/100,2))</x:f>
      </x:c>
      <x:c r="R22" s="25"/>
      <x:c r="S22" s="25"/>
      <x:c r="T22" s="25"/>
      <x:c r="U22" s="25"/>
      <x:c r="V22" s="21"/>
      <x:c r="W22" s="21"/>
      <x:c r="X22" s="21"/>
      <x:c r="Y22" s="21"/>
      <x:c r="Z22" s="21"/>
    </x:row>
    <x:row r="23">
      <x:c r="A23" s="25"/>
      <x:c r="B23" s="25"/>
      <x:c r="C23" s="25"/>
      <x:c r="D23" s="28"/>
      <x:c r="E23" s="25"/>
      <x:c r="F23" s="25"/>
      <x:c r="G23" s="30"/>
      <x:c r="H23" s="30"/>
      <x:c r="I23" s="32"/>
      <x:c r="J23" s="32"/>
      <x:c r="K23" s="32"/>
      <x:c r="L23" s="32"/>
      <x:c r="M23" s="32"/>
      <x:c r="N23" s="32"/>
      <x:c r="O23" s="32"/>
      <x:c r="P23" s="32"/>
      <x:c r="Q23" s="32" t="str">
        <x:f>IF(COUNTA(I23:P23)=0,"",ROUND(((I23*15)+(J23*15)+(K23*20)+(L23*15)+(M23*10)+(N23*10)+(O23*10)+(P23*5))/100,2))</x:f>
      </x:c>
      <x:c r="R23" s="25"/>
      <x:c r="S23" s="25"/>
      <x:c r="T23" s="25"/>
      <x:c r="U23" s="25"/>
      <x:c r="V23" s="21"/>
      <x:c r="W23" s="21"/>
      <x:c r="X23" s="21"/>
      <x:c r="Y23" s="21"/>
      <x:c r="Z23" s="21"/>
    </x:row>
    <x:row r="24">
      <x:c r="A24" s="25"/>
      <x:c r="B24" s="25"/>
      <x:c r="C24" s="25"/>
      <x:c r="D24" s="28"/>
      <x:c r="E24" s="25"/>
      <x:c r="F24" s="25"/>
      <x:c r="G24" s="30"/>
      <x:c r="H24" s="30"/>
      <x:c r="I24" s="32"/>
      <x:c r="J24" s="32"/>
      <x:c r="K24" s="32"/>
      <x:c r="L24" s="32"/>
      <x:c r="M24" s="32"/>
      <x:c r="N24" s="32"/>
      <x:c r="O24" s="32"/>
      <x:c r="P24" s="32"/>
      <x:c r="Q24" s="32" t="str">
        <x:f>IF(COUNTA(I24:P24)=0,"",ROUND(((I24*15)+(J24*15)+(K24*20)+(L24*15)+(M24*10)+(N24*10)+(O24*10)+(P24*5))/100,2))</x:f>
      </x:c>
      <x:c r="R24" s="25"/>
      <x:c r="S24" s="25"/>
      <x:c r="T24" s="25"/>
      <x:c r="U24" s="25"/>
      <x:c r="V24" s="21"/>
      <x:c r="W24" s="21"/>
      <x:c r="X24" s="21"/>
      <x:c r="Y24" s="21"/>
      <x:c r="Z24" s="21"/>
    </x:row>
    <x:row r="25">
      <x:c r="A25" s="25"/>
      <x:c r="B25" s="25"/>
      <x:c r="C25" s="25"/>
      <x:c r="D25" s="28"/>
      <x:c r="E25" s="25"/>
      <x:c r="F25" s="25"/>
      <x:c r="G25" s="30"/>
      <x:c r="H25" s="30"/>
      <x:c r="I25" s="32"/>
      <x:c r="J25" s="32"/>
      <x:c r="K25" s="32"/>
      <x:c r="L25" s="32"/>
      <x:c r="M25" s="32"/>
      <x:c r="N25" s="32"/>
      <x:c r="O25" s="32"/>
      <x:c r="P25" s="32"/>
      <x:c r="Q25" s="32" t="str">
        <x:f>IF(COUNTA(I25:P25)=0,"",ROUND(((I25*15)+(J25*15)+(K25*20)+(L25*15)+(M25*10)+(N25*10)+(O25*10)+(P25*5))/100,2))</x:f>
      </x:c>
      <x:c r="R25" s="25"/>
      <x:c r="S25" s="25"/>
      <x:c r="T25" s="25"/>
      <x:c r="U25" s="25"/>
      <x:c r="V25" s="21"/>
      <x:c r="W25" s="21"/>
      <x:c r="X25" s="21"/>
      <x:c r="Y25" s="21"/>
      <x:c r="Z25" s="21"/>
    </x:row>
    <x:row r="26">
      <x:c r="A26" s="25"/>
      <x:c r="B26" s="25"/>
      <x:c r="C26" s="25"/>
      <x:c r="D26" s="28"/>
      <x:c r="E26" s="25"/>
      <x:c r="F26" s="25"/>
      <x:c r="G26" s="30"/>
      <x:c r="H26" s="30"/>
      <x:c r="I26" s="32"/>
      <x:c r="J26" s="32"/>
      <x:c r="K26" s="32"/>
      <x:c r="L26" s="32"/>
      <x:c r="M26" s="32"/>
      <x:c r="N26" s="32"/>
      <x:c r="O26" s="32"/>
      <x:c r="P26" s="32"/>
      <x:c r="Q26" s="32" t="str">
        <x:f>IF(COUNTA(I26:P26)=0,"",ROUND(((I26*15)+(J26*15)+(K26*20)+(L26*15)+(M26*10)+(N26*10)+(O26*10)+(P26*5))/100,2))</x:f>
      </x:c>
      <x:c r="R26" s="25"/>
      <x:c r="S26" s="25"/>
      <x:c r="T26" s="25"/>
      <x:c r="U26" s="25"/>
      <x:c r="V26" s="21"/>
      <x:c r="W26" s="21"/>
      <x:c r="X26" s="21"/>
      <x:c r="Y26" s="21"/>
      <x:c r="Z26" s="21"/>
    </x:row>
    <x:row r="27">
      <x:c r="A27" s="25"/>
      <x:c r="B27" s="25"/>
      <x:c r="C27" s="25"/>
      <x:c r="D27" s="28"/>
      <x:c r="E27" s="25"/>
      <x:c r="F27" s="25"/>
      <x:c r="G27" s="30"/>
      <x:c r="H27" s="30"/>
      <x:c r="I27" s="32"/>
      <x:c r="J27" s="32"/>
      <x:c r="K27" s="32"/>
      <x:c r="L27" s="32"/>
      <x:c r="M27" s="32"/>
      <x:c r="N27" s="32"/>
      <x:c r="O27" s="32"/>
      <x:c r="P27" s="32"/>
      <x:c r="Q27" s="32" t="str">
        <x:f>IF(COUNTA(I27:P27)=0,"",ROUND(((I27*15)+(J27*15)+(K27*20)+(L27*15)+(M27*10)+(N27*10)+(O27*10)+(P27*5))/100,2))</x:f>
      </x:c>
      <x:c r="R27" s="25"/>
      <x:c r="S27" s="25"/>
      <x:c r="T27" s="25"/>
      <x:c r="U27" s="25"/>
      <x:c r="V27" s="21"/>
      <x:c r="W27" s="21"/>
      <x:c r="X27" s="21"/>
      <x:c r="Y27" s="21"/>
      <x:c r="Z27" s="21"/>
    </x:row>
    <x:row r="28">
      <x:c r="A28" s="25"/>
      <x:c r="B28" s="25"/>
      <x:c r="C28" s="25"/>
      <x:c r="D28" s="28"/>
      <x:c r="E28" s="25"/>
      <x:c r="F28" s="25"/>
      <x:c r="G28" s="30"/>
      <x:c r="H28" s="30"/>
      <x:c r="I28" s="32"/>
      <x:c r="J28" s="32"/>
      <x:c r="K28" s="32"/>
      <x:c r="L28" s="32"/>
      <x:c r="M28" s="32"/>
      <x:c r="N28" s="32"/>
      <x:c r="O28" s="32"/>
      <x:c r="P28" s="32"/>
      <x:c r="Q28" s="32" t="str">
        <x:f>IF(COUNTA(I28:P28)=0,"",ROUND(((I28*15)+(J28*15)+(K28*20)+(L28*15)+(M28*10)+(N28*10)+(O28*10)+(P28*5))/100,2))</x:f>
      </x:c>
      <x:c r="R28" s="25"/>
      <x:c r="S28" s="25"/>
      <x:c r="T28" s="25"/>
      <x:c r="U28" s="25"/>
      <x:c r="V28" s="21"/>
      <x:c r="W28" s="21"/>
      <x:c r="X28" s="21"/>
      <x:c r="Y28" s="21"/>
      <x:c r="Z28" s="21"/>
    </x:row>
    <x:row r="29">
      <x:c r="A29" s="25"/>
      <x:c r="B29" s="25"/>
      <x:c r="C29" s="25"/>
      <x:c r="D29" s="28"/>
      <x:c r="E29" s="25"/>
      <x:c r="F29" s="25"/>
      <x:c r="G29" s="30"/>
      <x:c r="H29" s="30"/>
      <x:c r="I29" s="32"/>
      <x:c r="J29" s="32"/>
      <x:c r="K29" s="32"/>
      <x:c r="L29" s="32"/>
      <x:c r="M29" s="32"/>
      <x:c r="N29" s="32"/>
      <x:c r="O29" s="32"/>
      <x:c r="P29" s="32"/>
      <x:c r="Q29" s="32" t="str">
        <x:f>IF(COUNTA(I29:P29)=0,"",ROUND(((I29*15)+(J29*15)+(K29*20)+(L29*15)+(M29*10)+(N29*10)+(O29*10)+(P29*5))/100,2))</x:f>
      </x:c>
      <x:c r="R29" s="25"/>
      <x:c r="S29" s="25"/>
      <x:c r="T29" s="25"/>
      <x:c r="U29" s="25"/>
      <x:c r="V29" s="21"/>
      <x:c r="W29" s="21"/>
      <x:c r="X29" s="21"/>
      <x:c r="Y29" s="21"/>
      <x:c r="Z29" s="21"/>
    </x:row>
    <x:row r="30">
      <x:c r="A30" s="25"/>
      <x:c r="B30" s="25"/>
      <x:c r="C30" s="25"/>
      <x:c r="D30" s="28"/>
      <x:c r="E30" s="25"/>
      <x:c r="F30" s="25"/>
      <x:c r="G30" s="30"/>
      <x:c r="H30" s="30"/>
      <x:c r="I30" s="32"/>
      <x:c r="J30" s="32"/>
      <x:c r="K30" s="32"/>
      <x:c r="L30" s="32"/>
      <x:c r="M30" s="32"/>
      <x:c r="N30" s="32"/>
      <x:c r="O30" s="32"/>
      <x:c r="P30" s="32"/>
      <x:c r="Q30" s="32" t="str">
        <x:f>IF(COUNTA(I30:P30)=0,"",ROUND(((I30*15)+(J30*15)+(K30*20)+(L30*15)+(M30*10)+(N30*10)+(O30*10)+(P30*5))/100,2))</x:f>
      </x:c>
      <x:c r="R30" s="25"/>
      <x:c r="S30" s="25"/>
      <x:c r="T30" s="25"/>
      <x:c r="U30" s="25"/>
      <x:c r="V30" s="21"/>
      <x:c r="W30" s="21"/>
      <x:c r="X30" s="21"/>
      <x:c r="Y30" s="21"/>
      <x:c r="Z30" s="21"/>
    </x:row>
    <x:row r="31">
      <x:c r="A31" s="25"/>
      <x:c r="B31" s="25"/>
      <x:c r="C31" s="25"/>
      <x:c r="D31" s="28"/>
      <x:c r="E31" s="25"/>
      <x:c r="F31" s="25"/>
      <x:c r="G31" s="30"/>
      <x:c r="H31" s="30"/>
      <x:c r="I31" s="32"/>
      <x:c r="J31" s="32"/>
      <x:c r="K31" s="32"/>
      <x:c r="L31" s="32"/>
      <x:c r="M31" s="32"/>
      <x:c r="N31" s="32"/>
      <x:c r="O31" s="32"/>
      <x:c r="P31" s="32"/>
      <x:c r="Q31" s="32" t="str">
        <x:f>IF(COUNTA(I31:P31)=0,"",ROUND(((I31*15)+(J31*15)+(K31*20)+(L31*15)+(M31*10)+(N31*10)+(O31*10)+(P31*5))/100,2))</x:f>
      </x:c>
      <x:c r="R31" s="25"/>
      <x:c r="S31" s="25"/>
      <x:c r="T31" s="25"/>
      <x:c r="U31" s="25"/>
      <x:c r="V31" s="21"/>
      <x:c r="W31" s="21"/>
      <x:c r="X31" s="21"/>
      <x:c r="Y31" s="21"/>
      <x:c r="Z31" s="21"/>
    </x:row>
    <x:row r="32">
      <x:c r="A32" s="25"/>
      <x:c r="B32" s="25"/>
      <x:c r="C32" s="25"/>
      <x:c r="D32" s="28"/>
      <x:c r="E32" s="25"/>
      <x:c r="F32" s="25"/>
      <x:c r="G32" s="30"/>
      <x:c r="H32" s="30"/>
      <x:c r="I32" s="32"/>
      <x:c r="J32" s="32"/>
      <x:c r="K32" s="32"/>
      <x:c r="L32" s="32"/>
      <x:c r="M32" s="32"/>
      <x:c r="N32" s="32"/>
      <x:c r="O32" s="32"/>
      <x:c r="P32" s="32"/>
      <x:c r="Q32" s="32" t="str">
        <x:f>IF(COUNTA(I32:P32)=0,"",ROUND(((I32*15)+(J32*15)+(K32*20)+(L32*15)+(M32*10)+(N32*10)+(O32*10)+(P32*5))/100,2))</x:f>
      </x:c>
      <x:c r="R32" s="25"/>
      <x:c r="S32" s="25"/>
      <x:c r="T32" s="25"/>
      <x:c r="U32" s="25"/>
      <x:c r="V32" s="21"/>
      <x:c r="W32" s="21"/>
      <x:c r="X32" s="21"/>
      <x:c r="Y32" s="21"/>
      <x:c r="Z32" s="21"/>
    </x:row>
    <x:row r="33">
      <x:c r="A33" s="25"/>
      <x:c r="B33" s="25"/>
      <x:c r="C33" s="25"/>
      <x:c r="D33" s="28"/>
      <x:c r="E33" s="25"/>
      <x:c r="F33" s="25"/>
      <x:c r="G33" s="30"/>
      <x:c r="H33" s="30"/>
      <x:c r="I33" s="32"/>
      <x:c r="J33" s="32"/>
      <x:c r="K33" s="32"/>
      <x:c r="L33" s="32"/>
      <x:c r="M33" s="32"/>
      <x:c r="N33" s="32"/>
      <x:c r="O33" s="32"/>
      <x:c r="P33" s="32"/>
      <x:c r="Q33" s="32" t="str">
        <x:f>IF(COUNTA(I33:P33)=0,"",ROUND(((I33*15)+(J33*15)+(K33*20)+(L33*15)+(M33*10)+(N33*10)+(O33*10)+(P33*5))/100,2))</x:f>
      </x:c>
      <x:c r="R33" s="25"/>
      <x:c r="S33" s="25"/>
      <x:c r="T33" s="25"/>
      <x:c r="U33" s="25"/>
      <x:c r="V33" s="21"/>
      <x:c r="W33" s="21"/>
      <x:c r="X33" s="21"/>
      <x:c r="Y33" s="21"/>
      <x:c r="Z33" s="21"/>
    </x:row>
    <x:row r="34">
      <x:c r="A34" s="25"/>
      <x:c r="B34" s="25"/>
      <x:c r="C34" s="25"/>
      <x:c r="D34" s="28"/>
      <x:c r="E34" s="25"/>
      <x:c r="F34" s="25"/>
      <x:c r="G34" s="30"/>
      <x:c r="H34" s="30"/>
      <x:c r="I34" s="32"/>
      <x:c r="J34" s="32"/>
      <x:c r="K34" s="32"/>
      <x:c r="L34" s="32"/>
      <x:c r="M34" s="32"/>
      <x:c r="N34" s="32"/>
      <x:c r="O34" s="32"/>
      <x:c r="P34" s="32"/>
      <x:c r="Q34" s="32" t="str">
        <x:f>IF(COUNTA(I34:P34)=0,"",ROUND(((I34*15)+(J34*15)+(K34*20)+(L34*15)+(M34*10)+(N34*10)+(O34*10)+(P34*5))/100,2))</x:f>
      </x:c>
      <x:c r="R34" s="25"/>
      <x:c r="S34" s="25"/>
      <x:c r="T34" s="25"/>
      <x:c r="U34" s="25"/>
      <x:c r="V34" s="21"/>
      <x:c r="W34" s="21"/>
      <x:c r="X34" s="21"/>
      <x:c r="Y34" s="21"/>
      <x:c r="Z34" s="21"/>
    </x:row>
    <x:row r="35">
      <x:c r="A35" s="25"/>
      <x:c r="B35" s="25"/>
      <x:c r="C35" s="25"/>
      <x:c r="D35" s="28"/>
      <x:c r="E35" s="25"/>
      <x:c r="F35" s="25"/>
      <x:c r="G35" s="30"/>
      <x:c r="H35" s="30"/>
      <x:c r="I35" s="32"/>
      <x:c r="J35" s="32"/>
      <x:c r="K35" s="32"/>
      <x:c r="L35" s="32"/>
      <x:c r="M35" s="32"/>
      <x:c r="N35" s="32"/>
      <x:c r="O35" s="32"/>
      <x:c r="P35" s="32"/>
      <x:c r="Q35" s="32" t="str">
        <x:f>IF(COUNTA(I35:P35)=0,"",ROUND(((I35*15)+(J35*15)+(K35*20)+(L35*15)+(M35*10)+(N35*10)+(O35*10)+(P35*5))/100,2))</x:f>
      </x:c>
      <x:c r="R35" s="25"/>
      <x:c r="S35" s="25"/>
      <x:c r="T35" s="25"/>
      <x:c r="U35" s="25"/>
      <x:c r="V35" s="21"/>
      <x:c r="W35" s="21"/>
      <x:c r="X35" s="21"/>
      <x:c r="Y35" s="21"/>
      <x:c r="Z35" s="21"/>
    </x:row>
    <x:row r="36">
      <x:c r="A36" s="25"/>
      <x:c r="B36" s="25"/>
      <x:c r="C36" s="25"/>
      <x:c r="D36" s="28"/>
      <x:c r="E36" s="25"/>
      <x:c r="F36" s="25"/>
      <x:c r="G36" s="30"/>
      <x:c r="H36" s="30"/>
      <x:c r="I36" s="32"/>
      <x:c r="J36" s="32"/>
      <x:c r="K36" s="32"/>
      <x:c r="L36" s="32"/>
      <x:c r="M36" s="32"/>
      <x:c r="N36" s="32"/>
      <x:c r="O36" s="32"/>
      <x:c r="P36" s="32"/>
      <x:c r="Q36" s="32" t="str">
        <x:f>IF(COUNTA(I36:P36)=0,"",ROUND(((I36*15)+(J36*15)+(K36*20)+(L36*15)+(M36*10)+(N36*10)+(O36*10)+(P36*5))/100,2))</x:f>
      </x:c>
      <x:c r="R36" s="25"/>
      <x:c r="S36" s="25"/>
      <x:c r="T36" s="25"/>
      <x:c r="U36" s="25"/>
      <x:c r="V36" s="21"/>
      <x:c r="W36" s="21"/>
      <x:c r="X36" s="21"/>
      <x:c r="Y36" s="21"/>
      <x:c r="Z36" s="21"/>
    </x:row>
    <x:row r="37">
      <x:c r="A37" s="25"/>
      <x:c r="B37" s="25"/>
      <x:c r="C37" s="25"/>
      <x:c r="D37" s="28"/>
      <x:c r="E37" s="25"/>
      <x:c r="F37" s="25"/>
      <x:c r="G37" s="30"/>
      <x:c r="H37" s="30"/>
      <x:c r="I37" s="32"/>
      <x:c r="J37" s="32"/>
      <x:c r="K37" s="32"/>
      <x:c r="L37" s="32"/>
      <x:c r="M37" s="32"/>
      <x:c r="N37" s="32"/>
      <x:c r="O37" s="32"/>
      <x:c r="P37" s="32"/>
      <x:c r="Q37" s="32" t="str">
        <x:f>IF(COUNTA(I37:P37)=0,"",ROUND(((I37*15)+(J37*15)+(K37*20)+(L37*15)+(M37*10)+(N37*10)+(O37*10)+(P37*5))/100,2))</x:f>
      </x:c>
      <x:c r="R37" s="25"/>
      <x:c r="S37" s="25"/>
      <x:c r="T37" s="25"/>
      <x:c r="U37" s="25"/>
      <x:c r="V37" s="21"/>
      <x:c r="W37" s="21"/>
      <x:c r="X37" s="21"/>
      <x:c r="Y37" s="21"/>
      <x:c r="Z37" s="21"/>
    </x:row>
    <x:row r="38">
      <x:c r="A38" s="25"/>
      <x:c r="B38" s="25"/>
      <x:c r="C38" s="25"/>
      <x:c r="D38" s="28"/>
      <x:c r="E38" s="25"/>
      <x:c r="F38" s="25"/>
      <x:c r="G38" s="30"/>
      <x:c r="H38" s="30"/>
      <x:c r="I38" s="32"/>
      <x:c r="J38" s="32"/>
      <x:c r="K38" s="32"/>
      <x:c r="L38" s="32"/>
      <x:c r="M38" s="32"/>
      <x:c r="N38" s="32"/>
      <x:c r="O38" s="32"/>
      <x:c r="P38" s="32"/>
      <x:c r="Q38" s="32" t="str">
        <x:f>IF(COUNTA(I38:P38)=0,"",ROUND(((I38*15)+(J38*15)+(K38*20)+(L38*15)+(M38*10)+(N38*10)+(O38*10)+(P38*5))/100,2))</x:f>
      </x:c>
      <x:c r="R38" s="25"/>
      <x:c r="S38" s="25"/>
      <x:c r="T38" s="25"/>
      <x:c r="U38" s="25"/>
      <x:c r="V38" s="21"/>
      <x:c r="W38" s="21"/>
      <x:c r="X38" s="21"/>
      <x:c r="Y38" s="21"/>
      <x:c r="Z38" s="21"/>
    </x:row>
    <x:row r="39">
      <x:c r="A39" s="25"/>
      <x:c r="B39" s="25"/>
      <x:c r="C39" s="25"/>
      <x:c r="D39" s="28"/>
      <x:c r="E39" s="25"/>
      <x:c r="F39" s="25"/>
      <x:c r="G39" s="30"/>
      <x:c r="H39" s="30"/>
      <x:c r="I39" s="32"/>
      <x:c r="J39" s="32"/>
      <x:c r="K39" s="32"/>
      <x:c r="L39" s="32"/>
      <x:c r="M39" s="32"/>
      <x:c r="N39" s="32"/>
      <x:c r="O39" s="32"/>
      <x:c r="P39" s="32"/>
      <x:c r="Q39" s="32" t="str">
        <x:f>IF(COUNTA(I39:P39)=0,"",ROUND(((I39*15)+(J39*15)+(K39*20)+(L39*15)+(M39*10)+(N39*10)+(O39*10)+(P39*5))/100,2))</x:f>
      </x:c>
      <x:c r="R39" s="25"/>
      <x:c r="S39" s="25"/>
      <x:c r="T39" s="25"/>
      <x:c r="U39" s="25"/>
      <x:c r="V39" s="21"/>
      <x:c r="W39" s="21"/>
      <x:c r="X39" s="21"/>
      <x:c r="Y39" s="21"/>
      <x:c r="Z39" s="21"/>
    </x:row>
    <x:row r="40">
      <x:c r="A40" s="25"/>
      <x:c r="B40" s="25"/>
      <x:c r="C40" s="25"/>
      <x:c r="D40" s="28"/>
      <x:c r="E40" s="25"/>
      <x:c r="F40" s="25"/>
      <x:c r="G40" s="30"/>
      <x:c r="H40" s="30"/>
      <x:c r="I40" s="32"/>
      <x:c r="J40" s="32"/>
      <x:c r="K40" s="32"/>
      <x:c r="L40" s="32"/>
      <x:c r="M40" s="32"/>
      <x:c r="N40" s="32"/>
      <x:c r="O40" s="32"/>
      <x:c r="P40" s="32"/>
      <x:c r="Q40" s="32" t="str">
        <x:f>IF(COUNTA(I40:P40)=0,"",ROUND(((I40*15)+(J40*15)+(K40*20)+(L40*15)+(M40*10)+(N40*10)+(O40*10)+(P40*5))/100,2))</x:f>
      </x:c>
      <x:c r="R40" s="25"/>
      <x:c r="S40" s="25"/>
      <x:c r="T40" s="25"/>
      <x:c r="U40" s="25"/>
      <x:c r="V40" s="21"/>
      <x:c r="W40" s="21"/>
      <x:c r="X40" s="21"/>
      <x:c r="Y40" s="21"/>
      <x:c r="Z40" s="21"/>
    </x:row>
    <x:row r="41">
      <x:c r="A41" s="25"/>
      <x:c r="B41" s="25"/>
      <x:c r="C41" s="25"/>
      <x:c r="D41" s="28"/>
      <x:c r="E41" s="25"/>
      <x:c r="F41" s="25"/>
      <x:c r="G41" s="30"/>
      <x:c r="H41" s="30"/>
      <x:c r="I41" s="32"/>
      <x:c r="J41" s="32"/>
      <x:c r="K41" s="32"/>
      <x:c r="L41" s="32"/>
      <x:c r="M41" s="32"/>
      <x:c r="N41" s="32"/>
      <x:c r="O41" s="32"/>
      <x:c r="P41" s="32"/>
      <x:c r="Q41" s="32" t="str">
        <x:f>IF(COUNTA(I41:P41)=0,"",ROUND(((I41*15)+(J41*15)+(K41*20)+(L41*15)+(M41*10)+(N41*10)+(O41*10)+(P41*5))/100,2))</x:f>
      </x:c>
      <x:c r="R41" s="25"/>
      <x:c r="S41" s="25"/>
      <x:c r="T41" s="25"/>
      <x:c r="U41" s="25"/>
      <x:c r="V41" s="21"/>
      <x:c r="W41" s="21"/>
      <x:c r="X41" s="21"/>
      <x:c r="Y41" s="21"/>
      <x:c r="Z41" s="21"/>
    </x:row>
    <x:row r="42">
      <x:c r="A42" s="25"/>
      <x:c r="B42" s="25"/>
      <x:c r="C42" s="25"/>
      <x:c r="D42" s="28"/>
      <x:c r="E42" s="25"/>
      <x:c r="F42" s="25"/>
      <x:c r="G42" s="30"/>
      <x:c r="H42" s="30"/>
      <x:c r="I42" s="32"/>
      <x:c r="J42" s="32"/>
      <x:c r="K42" s="32"/>
      <x:c r="L42" s="32"/>
      <x:c r="M42" s="32"/>
      <x:c r="N42" s="32"/>
      <x:c r="O42" s="32"/>
      <x:c r="P42" s="32"/>
      <x:c r="Q42" s="32" t="str">
        <x:f>IF(COUNTA(I42:P42)=0,"",ROUND(((I42*15)+(J42*15)+(K42*20)+(L42*15)+(M42*10)+(N42*10)+(O42*10)+(P42*5))/100,2))</x:f>
      </x:c>
      <x:c r="R42" s="25"/>
      <x:c r="S42" s="25"/>
      <x:c r="T42" s="25"/>
      <x:c r="U42" s="25"/>
      <x:c r="V42" s="21"/>
      <x:c r="W42" s="21"/>
      <x:c r="X42" s="21"/>
      <x:c r="Y42" s="21"/>
      <x:c r="Z42" s="21"/>
    </x:row>
    <x:row r="43">
      <x:c r="A43" s="25"/>
      <x:c r="B43" s="25"/>
      <x:c r="C43" s="25"/>
      <x:c r="D43" s="28"/>
      <x:c r="E43" s="25"/>
      <x:c r="F43" s="25"/>
      <x:c r="G43" s="30"/>
      <x:c r="H43" s="30"/>
      <x:c r="I43" s="32"/>
      <x:c r="J43" s="32"/>
      <x:c r="K43" s="32"/>
      <x:c r="L43" s="32"/>
      <x:c r="M43" s="32"/>
      <x:c r="N43" s="32"/>
      <x:c r="O43" s="32"/>
      <x:c r="P43" s="32"/>
      <x:c r="Q43" s="32" t="str">
        <x:f>IF(COUNTA(I43:P43)=0,"",ROUND(((I43*15)+(J43*15)+(K43*20)+(L43*15)+(M43*10)+(N43*10)+(O43*10)+(P43*5))/100,2))</x:f>
      </x:c>
      <x:c r="R43" s="25"/>
      <x:c r="S43" s="25"/>
      <x:c r="T43" s="25"/>
      <x:c r="U43" s="25"/>
      <x:c r="V43" s="21"/>
      <x:c r="W43" s="21"/>
      <x:c r="X43" s="21"/>
      <x:c r="Y43" s="21"/>
      <x:c r="Z43" s="21"/>
    </x:row>
    <x:row r="44">
      <x:c r="A44" s="25"/>
      <x:c r="B44" s="25"/>
      <x:c r="C44" s="25"/>
      <x:c r="D44" s="28"/>
      <x:c r="E44" s="25"/>
      <x:c r="F44" s="25"/>
      <x:c r="G44" s="30"/>
      <x:c r="H44" s="30"/>
      <x:c r="I44" s="32"/>
      <x:c r="J44" s="32"/>
      <x:c r="K44" s="32"/>
      <x:c r="L44" s="32"/>
      <x:c r="M44" s="32"/>
      <x:c r="N44" s="32"/>
      <x:c r="O44" s="32"/>
      <x:c r="P44" s="32"/>
      <x:c r="Q44" s="32" t="str">
        <x:f>IF(COUNTA(I44:P44)=0,"",ROUND(((I44*15)+(J44*15)+(K44*20)+(L44*15)+(M44*10)+(N44*10)+(O44*10)+(P44*5))/100,2))</x:f>
      </x:c>
      <x:c r="R44" s="25"/>
      <x:c r="S44" s="25"/>
      <x:c r="T44" s="25"/>
      <x:c r="U44" s="25"/>
      <x:c r="V44" s="21"/>
      <x:c r="W44" s="21"/>
      <x:c r="X44" s="21"/>
      <x:c r="Y44" s="21"/>
      <x:c r="Z44" s="21"/>
    </x:row>
    <x:row r="45">
      <x:c r="A45" s="25"/>
      <x:c r="B45" s="25"/>
      <x:c r="C45" s="25"/>
      <x:c r="D45" s="28"/>
      <x:c r="E45" s="25"/>
      <x:c r="F45" s="25"/>
      <x:c r="G45" s="30"/>
      <x:c r="H45" s="30"/>
      <x:c r="I45" s="32"/>
      <x:c r="J45" s="32"/>
      <x:c r="K45" s="32"/>
      <x:c r="L45" s="32"/>
      <x:c r="M45" s="32"/>
      <x:c r="N45" s="32"/>
      <x:c r="O45" s="32"/>
      <x:c r="P45" s="32"/>
      <x:c r="Q45" s="32" t="str">
        <x:f>IF(COUNTA(I45:P45)=0,"",ROUND(((I45*15)+(J45*15)+(K45*20)+(L45*15)+(M45*10)+(N45*10)+(O45*10)+(P45*5))/100,2))</x:f>
      </x:c>
      <x:c r="R45" s="25"/>
      <x:c r="S45" s="25"/>
      <x:c r="T45" s="25"/>
      <x:c r="U45" s="25"/>
      <x:c r="V45" s="21"/>
      <x:c r="W45" s="21"/>
      <x:c r="X45" s="21"/>
      <x:c r="Y45" s="21"/>
      <x:c r="Z45" s="21"/>
    </x:row>
    <x:row r="46">
      <x:c r="A46" s="25"/>
      <x:c r="B46" s="25"/>
      <x:c r="C46" s="25"/>
      <x:c r="D46" s="28"/>
      <x:c r="E46" s="25"/>
      <x:c r="F46" s="25"/>
      <x:c r="G46" s="30"/>
      <x:c r="H46" s="30"/>
      <x:c r="I46" s="32"/>
      <x:c r="J46" s="32"/>
      <x:c r="K46" s="32"/>
      <x:c r="L46" s="32"/>
      <x:c r="M46" s="32"/>
      <x:c r="N46" s="32"/>
      <x:c r="O46" s="32"/>
      <x:c r="P46" s="32"/>
      <x:c r="Q46" s="32" t="str">
        <x:f>IF(COUNTA(I46:P46)=0,"",ROUND(((I46*15)+(J46*15)+(K46*20)+(L46*15)+(M46*10)+(N46*10)+(O46*10)+(P46*5))/100,2))</x:f>
      </x:c>
      <x:c r="R46" s="25"/>
      <x:c r="S46" s="25"/>
      <x:c r="T46" s="25"/>
      <x:c r="U46" s="25"/>
      <x:c r="V46" s="21"/>
      <x:c r="W46" s="21"/>
      <x:c r="X46" s="21"/>
      <x:c r="Y46" s="21"/>
      <x:c r="Z46" s="21"/>
    </x:row>
    <x:row r="47">
      <x:c r="A47" s="25"/>
      <x:c r="B47" s="25"/>
      <x:c r="C47" s="25"/>
      <x:c r="D47" s="28"/>
      <x:c r="E47" s="25"/>
      <x:c r="F47" s="25"/>
      <x:c r="G47" s="30"/>
      <x:c r="H47" s="30"/>
      <x:c r="I47" s="32"/>
      <x:c r="J47" s="32"/>
      <x:c r="K47" s="32"/>
      <x:c r="L47" s="32"/>
      <x:c r="M47" s="32"/>
      <x:c r="N47" s="32"/>
      <x:c r="O47" s="32"/>
      <x:c r="P47" s="32"/>
      <x:c r="Q47" s="32" t="str">
        <x:f>IF(COUNTA(I47:P47)=0,"",ROUND(((I47*15)+(J47*15)+(K47*20)+(L47*15)+(M47*10)+(N47*10)+(O47*10)+(P47*5))/100,2))</x:f>
      </x:c>
      <x:c r="R47" s="25"/>
      <x:c r="S47" s="25"/>
      <x:c r="T47" s="25"/>
      <x:c r="U47" s="25"/>
      <x:c r="V47" s="21"/>
      <x:c r="W47" s="21"/>
      <x:c r="X47" s="21"/>
      <x:c r="Y47" s="21"/>
      <x:c r="Z47" s="21"/>
    </x:row>
    <x:row r="48">
      <x:c r="A48" s="25"/>
      <x:c r="B48" s="25"/>
      <x:c r="C48" s="25"/>
      <x:c r="D48" s="28"/>
      <x:c r="E48" s="25"/>
      <x:c r="F48" s="25"/>
      <x:c r="G48" s="30"/>
      <x:c r="H48" s="30"/>
      <x:c r="I48" s="32"/>
      <x:c r="J48" s="32"/>
      <x:c r="K48" s="32"/>
      <x:c r="L48" s="32"/>
      <x:c r="M48" s="32"/>
      <x:c r="N48" s="32"/>
      <x:c r="O48" s="32"/>
      <x:c r="P48" s="32"/>
      <x:c r="Q48" s="32" t="str">
        <x:f>IF(COUNTA(I48:P48)=0,"",ROUND(((I48*15)+(J48*15)+(K48*20)+(L48*15)+(M48*10)+(N48*10)+(O48*10)+(P48*5))/100,2))</x:f>
      </x:c>
      <x:c r="R48" s="25"/>
      <x:c r="S48" s="25"/>
      <x:c r="T48" s="25"/>
      <x:c r="U48" s="25"/>
      <x:c r="V48" s="21"/>
      <x:c r="W48" s="21"/>
      <x:c r="X48" s="21"/>
      <x:c r="Y48" s="21"/>
      <x:c r="Z48" s="21"/>
    </x:row>
    <x:row r="49">
      <x:c r="A49" s="25"/>
      <x:c r="B49" s="25"/>
      <x:c r="C49" s="25"/>
      <x:c r="D49" s="28"/>
      <x:c r="E49" s="25"/>
      <x:c r="F49" s="25"/>
      <x:c r="G49" s="30"/>
      <x:c r="H49" s="30"/>
      <x:c r="I49" s="32"/>
      <x:c r="J49" s="32"/>
      <x:c r="K49" s="32"/>
      <x:c r="L49" s="32"/>
      <x:c r="M49" s="32"/>
      <x:c r="N49" s="32"/>
      <x:c r="O49" s="32"/>
      <x:c r="P49" s="32"/>
      <x:c r="Q49" s="32" t="str">
        <x:f>IF(COUNTA(I49:P49)=0,"",ROUND(((I49*15)+(J49*15)+(K49*20)+(L49*15)+(M49*10)+(N49*10)+(O49*10)+(P49*5))/100,2))</x:f>
      </x:c>
      <x:c r="R49" s="25"/>
      <x:c r="S49" s="25"/>
      <x:c r="T49" s="25"/>
      <x:c r="U49" s="25"/>
      <x:c r="V49" s="21"/>
      <x:c r="W49" s="21"/>
      <x:c r="X49" s="21"/>
      <x:c r="Y49" s="21"/>
      <x:c r="Z49" s="21"/>
    </x:row>
    <x:row r="50">
      <x:c r="A50" s="25"/>
      <x:c r="B50" s="25"/>
      <x:c r="C50" s="25"/>
      <x:c r="D50" s="28"/>
      <x:c r="E50" s="25"/>
      <x:c r="F50" s="25"/>
      <x:c r="G50" s="30"/>
      <x:c r="H50" s="30"/>
      <x:c r="I50" s="32"/>
      <x:c r="J50" s="32"/>
      <x:c r="K50" s="32"/>
      <x:c r="L50" s="32"/>
      <x:c r="M50" s="32"/>
      <x:c r="N50" s="32"/>
      <x:c r="O50" s="32"/>
      <x:c r="P50" s="32"/>
      <x:c r="Q50" s="32" t="str">
        <x:f>IF(COUNTA(I50:P50)=0,"",ROUND(((I50*15)+(J50*15)+(K50*20)+(L50*15)+(M50*10)+(N50*10)+(O50*10)+(P50*5))/100,2))</x:f>
      </x:c>
      <x:c r="R50" s="25"/>
      <x:c r="S50" s="25"/>
      <x:c r="T50" s="25"/>
      <x:c r="U50" s="25"/>
      <x:c r="V50" s="21"/>
      <x:c r="W50" s="21"/>
      <x:c r="X50" s="21"/>
      <x:c r="Y50" s="21"/>
      <x:c r="Z50" s="21"/>
    </x:row>
    <x:row r="51">
      <x:c r="A51" s="25"/>
      <x:c r="B51" s="25"/>
      <x:c r="C51" s="25"/>
      <x:c r="D51" s="28"/>
      <x:c r="E51" s="25"/>
      <x:c r="F51" s="25"/>
      <x:c r="G51" s="30"/>
      <x:c r="H51" s="30"/>
      <x:c r="I51" s="32"/>
      <x:c r="J51" s="32"/>
      <x:c r="K51" s="32"/>
      <x:c r="L51" s="32"/>
      <x:c r="M51" s="32"/>
      <x:c r="N51" s="32"/>
      <x:c r="O51" s="32"/>
      <x:c r="P51" s="32"/>
      <x:c r="Q51" s="32" t="str">
        <x:f>IF(COUNTA(I51:P51)=0,"",ROUND(((I51*15)+(J51*15)+(K51*20)+(L51*15)+(M51*10)+(N51*10)+(O51*10)+(P51*5))/100,2))</x:f>
      </x:c>
      <x:c r="R51" s="25"/>
      <x:c r="S51" s="25"/>
      <x:c r="T51" s="25"/>
      <x:c r="U51" s="25"/>
      <x:c r="V51" s="21"/>
      <x:c r="W51" s="21"/>
      <x:c r="X51" s="21"/>
      <x:c r="Y51" s="21"/>
      <x:c r="Z51" s="21"/>
    </x:row>
    <x:row r="52">
      <x:c r="A52" s="25"/>
      <x:c r="B52" s="25"/>
      <x:c r="C52" s="25"/>
      <x:c r="D52" s="28"/>
      <x:c r="E52" s="25"/>
      <x:c r="F52" s="25"/>
      <x:c r="G52" s="30"/>
      <x:c r="H52" s="30"/>
      <x:c r="I52" s="32"/>
      <x:c r="J52" s="32"/>
      <x:c r="K52" s="32"/>
      <x:c r="L52" s="32"/>
      <x:c r="M52" s="32"/>
      <x:c r="N52" s="32"/>
      <x:c r="O52" s="32"/>
      <x:c r="P52" s="32"/>
      <x:c r="Q52" s="32" t="str">
        <x:f>IF(COUNTA(I52:P52)=0,"",ROUND(((I52*15)+(J52*15)+(K52*20)+(L52*15)+(M52*10)+(N52*10)+(O52*10)+(P52*5))/100,2))</x:f>
      </x:c>
      <x:c r="R52" s="25"/>
      <x:c r="S52" s="25"/>
      <x:c r="T52" s="25"/>
      <x:c r="U52" s="25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U1"/>
  </x:mergeCells>
  <x:conditionalFormatting sqref="Q3:Q5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2">
    <x:dataValidation type="whole" operator="between" sqref="I3:P52">
      <x:formula1>1</x:formula1>
      <x:formula2>5</x:formula2>
    </x:dataValidation>
    <x:dataValidation type="list" sqref="R3:R52">
      <x:formula1>"Accept,Negotiate,Reject,Hold,Need Info"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018b938b7c43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6" hidden="0" customWidth="1"/>
    <x:col min="9" max="9" width="10" hidden="0" customWidth="1"/>
    <x:col min="10" max="10" width="12" hidden="0" customWidth="1"/>
    <x:col min="11" max="11" width="16" hidden="0" customWidth="1"/>
    <x:col min="12" max="12" width="12" hidden="0" customWidth="1"/>
    <x:col min="13" max="13" width="14" hidden="0" customWidth="1"/>
    <x:col min="14" max="14" width="18" hidden="0" customWidth="1"/>
    <x:col min="15" max="15" width="40" hidden="0" customWidth="1"/>
  </x:cols>
  <x:sheetData>
    <x:row r="1" ht="28" customHeight="1">
      <x:c r="A1" s="20" t="str">
        <x:v>Weekly Metrics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Week Start</x:v>
      </x:c>
      <x:c r="B2" s="24" t="str">
        <x:v>Applications Sent</x:v>
      </x:c>
      <x:c r="C2" s="24" t="str">
        <x:v>Outreach Sent</x:v>
      </x:c>
      <x:c r="D2" s="24" t="str">
        <x:v>Follow-ups</x:v>
      </x:c>
      <x:c r="E2" s="24" t="str">
        <x:v>Responses</x:v>
      </x:c>
      <x:c r="F2" s="24" t="str">
        <x:v>Recruiter Contacts</x:v>
      </x:c>
      <x:c r="G2" s="24" t="str">
        <x:v>Interviews Started</x:v>
      </x:c>
      <x:c r="H2" s="24" t="str">
        <x:v>Technical Tests</x:v>
      </x:c>
      <x:c r="I2" s="24" t="str">
        <x:v>Offers</x:v>
      </x:c>
      <x:c r="J2" s="24" t="str">
        <x:v>Rejections</x:v>
      </x:c>
      <x:c r="K2" s="24" t="str">
        <x:v>Portfolio Blocks</x:v>
      </x:c>
      <x:c r="L2" s="24" t="str">
        <x:v>Skill Blocks</x:v>
      </x:c>
      <x:c r="M2" s="24" t="str">
        <x:v>Response Rate</x:v>
      </x:c>
      <x:c r="N2" s="24" t="str">
        <x:v>Interview Conversion</x:v>
      </x:c>
      <x:c r="O2" s="24" t="str">
        <x:v>Notes</x:v>
      </x:c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8" t="n">
        <x:v>46181.85428778935</x:v>
      </x:c>
      <x:c r="B3" s="25" t="n">
        <x:v>0</x:v>
      </x:c>
      <x:c r="C3" s="25" t="n">
        <x:v>0</x:v>
      </x:c>
      <x:c r="D3" s="25" t="n">
        <x:v>0</x:v>
      </x:c>
      <x:c r="E3" s="25" t="n">
        <x:v>0</x:v>
      </x:c>
      <x:c r="F3" s="25" t="n">
        <x:v>0</x:v>
      </x:c>
      <x:c r="G3" s="25" t="n">
        <x:v>0</x:v>
      </x:c>
      <x:c r="H3" s="25" t="n">
        <x:v>0</x:v>
      </x:c>
      <x:c r="I3" s="25" t="n">
        <x:v>0</x:v>
      </x:c>
      <x:c r="J3" s="25" t="n">
        <x:v>0</x:v>
      </x:c>
      <x:c r="K3" s="25" t="n">
        <x:v>0</x:v>
      </x:c>
      <x:c r="L3" s="25" t="n">
        <x:v>0</x:v>
      </x:c>
      <x:c r="M3" s="36" t="str">
        <x:f>IF(C3=0,"",E3/C3)</x:f>
      </x:c>
      <x:c r="N3" s="36" t="str">
        <x:f>IF(B3=0,"",G3/B3)</x:f>
      </x:c>
      <x:c r="O3" s="25" t="str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8" t="n">
        <x:v>46188.85428778935</x:v>
      </x:c>
      <x:c r="B4" s="25" t="n">
        <x:v>0</x:v>
      </x:c>
      <x:c r="C4" s="25" t="n">
        <x:v>0</x:v>
      </x:c>
      <x:c r="D4" s="25" t="n">
        <x:v>0</x:v>
      </x:c>
      <x:c r="E4" s="25" t="n">
        <x:v>0</x:v>
      </x:c>
      <x:c r="F4" s="25" t="n">
        <x:v>0</x:v>
      </x:c>
      <x:c r="G4" s="25" t="n">
        <x:v>0</x:v>
      </x:c>
      <x:c r="H4" s="25" t="n">
        <x:v>0</x:v>
      </x:c>
      <x:c r="I4" s="25" t="n">
        <x:v>0</x:v>
      </x:c>
      <x:c r="J4" s="25" t="n">
        <x:v>0</x:v>
      </x:c>
      <x:c r="K4" s="25" t="n">
        <x:v>0</x:v>
      </x:c>
      <x:c r="L4" s="25" t="n">
        <x:v>0</x:v>
      </x:c>
      <x:c r="M4" s="36" t="str">
        <x:f>IF(C4=0,"",E4/C4)</x:f>
      </x:c>
      <x:c r="N4" s="36" t="str">
        <x:f>IF(B4=0,"",G4/B4)</x:f>
      </x:c>
      <x:c r="O4" s="25" t="str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8" t="n">
        <x:v>46195.85428778935</x:v>
      </x:c>
      <x:c r="B5" s="25" t="n">
        <x:v>0</x:v>
      </x:c>
      <x:c r="C5" s="25" t="n">
        <x:v>0</x:v>
      </x:c>
      <x:c r="D5" s="25" t="n">
        <x:v>0</x:v>
      </x:c>
      <x:c r="E5" s="25" t="n">
        <x:v>0</x:v>
      </x:c>
      <x:c r="F5" s="25" t="n">
        <x:v>0</x:v>
      </x:c>
      <x:c r="G5" s="25" t="n">
        <x:v>0</x:v>
      </x:c>
      <x:c r="H5" s="25" t="n">
        <x:v>0</x:v>
      </x:c>
      <x:c r="I5" s="25" t="n">
        <x:v>0</x:v>
      </x:c>
      <x:c r="J5" s="25" t="n">
        <x:v>0</x:v>
      </x:c>
      <x:c r="K5" s="25" t="n">
        <x:v>0</x:v>
      </x:c>
      <x:c r="L5" s="25" t="n">
        <x:v>0</x:v>
      </x:c>
      <x:c r="M5" s="36" t="str">
        <x:f>IF(C5=0,"",E5/C5)</x:f>
      </x:c>
      <x:c r="N5" s="36" t="str">
        <x:f>IF(B5=0,"",G5/B5)</x:f>
      </x:c>
      <x:c r="O5" s="25" t="str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8" t="n">
        <x:v>46202.85428778935</x:v>
      </x:c>
      <x:c r="B6" s="25" t="n">
        <x:v>0</x:v>
      </x:c>
      <x:c r="C6" s="25" t="n">
        <x:v>0</x:v>
      </x:c>
      <x:c r="D6" s="25" t="n">
        <x:v>0</x:v>
      </x:c>
      <x:c r="E6" s="25" t="n">
        <x:v>0</x:v>
      </x:c>
      <x:c r="F6" s="25" t="n">
        <x:v>0</x:v>
      </x:c>
      <x:c r="G6" s="25" t="n">
        <x:v>0</x:v>
      </x:c>
      <x:c r="H6" s="25" t="n">
        <x:v>0</x:v>
      </x:c>
      <x:c r="I6" s="25" t="n">
        <x:v>0</x:v>
      </x:c>
      <x:c r="J6" s="25" t="n">
        <x:v>0</x:v>
      </x:c>
      <x:c r="K6" s="25" t="n">
        <x:v>0</x:v>
      </x:c>
      <x:c r="L6" s="25" t="n">
        <x:v>0</x:v>
      </x:c>
      <x:c r="M6" s="36" t="str">
        <x:f>IF(C6=0,"",E6/C6)</x:f>
      </x:c>
      <x:c r="N6" s="36" t="str">
        <x:f>IF(B6=0,"",G6/B6)</x:f>
      </x:c>
      <x:c r="O6" s="25" t="str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8" t="n">
        <x:v>46209.85428778935</x:v>
      </x:c>
      <x:c r="B7" s="25" t="n">
        <x:v>0</x:v>
      </x:c>
      <x:c r="C7" s="25" t="n">
        <x:v>0</x:v>
      </x:c>
      <x:c r="D7" s="25" t="n">
        <x:v>0</x:v>
      </x:c>
      <x:c r="E7" s="25" t="n">
        <x:v>0</x:v>
      </x:c>
      <x:c r="F7" s="25" t="n">
        <x:v>0</x:v>
      </x:c>
      <x:c r="G7" s="25" t="n">
        <x:v>0</x:v>
      </x:c>
      <x:c r="H7" s="25" t="n">
        <x:v>0</x:v>
      </x:c>
      <x:c r="I7" s="25" t="n">
        <x:v>0</x:v>
      </x:c>
      <x:c r="J7" s="25" t="n">
        <x:v>0</x:v>
      </x:c>
      <x:c r="K7" s="25" t="n">
        <x:v>0</x:v>
      </x:c>
      <x:c r="L7" s="25" t="n">
        <x:v>0</x:v>
      </x:c>
      <x:c r="M7" s="36" t="str">
        <x:f>IF(C7=0,"",E7/C7)</x:f>
      </x:c>
      <x:c r="N7" s="36" t="str">
        <x:f>IF(B7=0,"",G7/B7)</x:f>
      </x:c>
      <x:c r="O7" s="25" t="str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8" t="n">
        <x:v>46216.85428778935</x:v>
      </x:c>
      <x:c r="B8" s="25" t="n">
        <x:v>0</x:v>
      </x:c>
      <x:c r="C8" s="25" t="n">
        <x:v>0</x:v>
      </x:c>
      <x:c r="D8" s="25" t="n">
        <x:v>0</x:v>
      </x:c>
      <x:c r="E8" s="25" t="n">
        <x:v>0</x:v>
      </x:c>
      <x:c r="F8" s="25" t="n">
        <x:v>0</x:v>
      </x:c>
      <x:c r="G8" s="25" t="n">
        <x:v>0</x:v>
      </x:c>
      <x:c r="H8" s="25" t="n">
        <x:v>0</x:v>
      </x:c>
      <x:c r="I8" s="25" t="n">
        <x:v>0</x:v>
      </x:c>
      <x:c r="J8" s="25" t="n">
        <x:v>0</x:v>
      </x:c>
      <x:c r="K8" s="25" t="n">
        <x:v>0</x:v>
      </x:c>
      <x:c r="L8" s="25" t="n">
        <x:v>0</x:v>
      </x:c>
      <x:c r="M8" s="36" t="str">
        <x:f>IF(C8=0,"",E8/C8)</x:f>
      </x:c>
      <x:c r="N8" s="36" t="str">
        <x:f>IF(B8=0,"",G8/B8)</x:f>
      </x:c>
      <x:c r="O8" s="25" t="str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8" t="n">
        <x:v>46223.85428778935</x:v>
      </x:c>
      <x:c r="B9" s="25" t="n">
        <x:v>0</x:v>
      </x:c>
      <x:c r="C9" s="25" t="n">
        <x:v>0</x:v>
      </x:c>
      <x:c r="D9" s="25" t="n">
        <x:v>0</x:v>
      </x:c>
      <x:c r="E9" s="25" t="n">
        <x:v>0</x:v>
      </x:c>
      <x:c r="F9" s="25" t="n">
        <x:v>0</x:v>
      </x:c>
      <x:c r="G9" s="25" t="n">
        <x:v>0</x:v>
      </x:c>
      <x:c r="H9" s="25" t="n">
        <x:v>0</x:v>
      </x:c>
      <x:c r="I9" s="25" t="n">
        <x:v>0</x:v>
      </x:c>
      <x:c r="J9" s="25" t="n">
        <x:v>0</x:v>
      </x:c>
      <x:c r="K9" s="25" t="n">
        <x:v>0</x:v>
      </x:c>
      <x:c r="L9" s="25" t="n">
        <x:v>0</x:v>
      </x:c>
      <x:c r="M9" s="36" t="str">
        <x:f>IF(C9=0,"",E9/C9)</x:f>
      </x:c>
      <x:c r="N9" s="36" t="str">
        <x:f>IF(B9=0,"",G9/B9)</x:f>
      </x:c>
      <x:c r="O9" s="25" t="str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8" t="n">
        <x:v>46230.85428778935</x:v>
      </x:c>
      <x:c r="B10" s="25" t="n">
        <x:v>0</x:v>
      </x:c>
      <x:c r="C10" s="25" t="n">
        <x:v>0</x:v>
      </x:c>
      <x:c r="D10" s="25" t="n">
        <x:v>0</x:v>
      </x:c>
      <x:c r="E10" s="25" t="n">
        <x:v>0</x:v>
      </x:c>
      <x:c r="F10" s="25" t="n">
        <x:v>0</x:v>
      </x:c>
      <x:c r="G10" s="25" t="n">
        <x:v>0</x:v>
      </x:c>
      <x:c r="H10" s="25" t="n">
        <x:v>0</x:v>
      </x:c>
      <x:c r="I10" s="25" t="n">
        <x:v>0</x:v>
      </x:c>
      <x:c r="J10" s="25" t="n">
        <x:v>0</x:v>
      </x:c>
      <x:c r="K10" s="25" t="n">
        <x:v>0</x:v>
      </x:c>
      <x:c r="L10" s="25" t="n">
        <x:v>0</x:v>
      </x:c>
      <x:c r="M10" s="36" t="str">
        <x:f>IF(C10=0,"",E10/C10)</x:f>
      </x:c>
      <x:c r="N10" s="36" t="str">
        <x:f>IF(B10=0,"",G10/B10)</x:f>
      </x:c>
      <x:c r="O10" s="25" t="str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8" t="n">
        <x:v>46237.85428778935</x:v>
      </x:c>
      <x:c r="B11" s="25" t="n">
        <x:v>0</x:v>
      </x:c>
      <x:c r="C11" s="25" t="n">
        <x:v>0</x:v>
      </x:c>
      <x:c r="D11" s="25" t="n">
        <x:v>0</x:v>
      </x:c>
      <x:c r="E11" s="25" t="n">
        <x:v>0</x:v>
      </x:c>
      <x:c r="F11" s="25" t="n">
        <x:v>0</x:v>
      </x:c>
      <x:c r="G11" s="25" t="n">
        <x:v>0</x:v>
      </x:c>
      <x:c r="H11" s="25" t="n">
        <x:v>0</x:v>
      </x:c>
      <x:c r="I11" s="25" t="n">
        <x:v>0</x:v>
      </x:c>
      <x:c r="J11" s="25" t="n">
        <x:v>0</x:v>
      </x:c>
      <x:c r="K11" s="25" t="n">
        <x:v>0</x:v>
      </x:c>
      <x:c r="L11" s="25" t="n">
        <x:v>0</x:v>
      </x:c>
      <x:c r="M11" s="36" t="str">
        <x:f>IF(C11=0,"",E11/C11)</x:f>
      </x:c>
      <x:c r="N11" s="36" t="str">
        <x:f>IF(B11=0,"",G11/B11)</x:f>
      </x:c>
      <x:c r="O11" s="25" t="str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8" t="n">
        <x:v>46244.85428778935</x:v>
      </x:c>
      <x:c r="B12" s="25" t="n">
        <x:v>0</x:v>
      </x:c>
      <x:c r="C12" s="25" t="n">
        <x:v>0</x:v>
      </x:c>
      <x:c r="D12" s="25" t="n">
        <x:v>0</x:v>
      </x:c>
      <x:c r="E12" s="25" t="n">
        <x:v>0</x:v>
      </x:c>
      <x:c r="F12" s="25" t="n">
        <x:v>0</x:v>
      </x:c>
      <x:c r="G12" s="25" t="n">
        <x:v>0</x:v>
      </x:c>
      <x:c r="H12" s="25" t="n">
        <x:v>0</x:v>
      </x:c>
      <x:c r="I12" s="25" t="n">
        <x:v>0</x:v>
      </x:c>
      <x:c r="J12" s="25" t="n">
        <x:v>0</x:v>
      </x:c>
      <x:c r="K12" s="25" t="n">
        <x:v>0</x:v>
      </x:c>
      <x:c r="L12" s="25" t="n">
        <x:v>0</x:v>
      </x:c>
      <x:c r="M12" s="36" t="str">
        <x:f>IF(C12=0,"",E12/C12)</x:f>
      </x:c>
      <x:c r="N12" s="36" t="str">
        <x:f>IF(B12=0,"",G12/B12)</x:f>
      </x:c>
      <x:c r="O12" s="25" t="str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8" t="n">
        <x:v>46251.85428778935</x:v>
      </x:c>
      <x:c r="B13" s="25" t="n">
        <x:v>0</x:v>
      </x:c>
      <x:c r="C13" s="25" t="n">
        <x:v>0</x:v>
      </x:c>
      <x:c r="D13" s="25" t="n">
        <x:v>0</x:v>
      </x:c>
      <x:c r="E13" s="25" t="n">
        <x:v>0</x:v>
      </x:c>
      <x:c r="F13" s="25" t="n">
        <x:v>0</x:v>
      </x:c>
      <x:c r="G13" s="25" t="n">
        <x:v>0</x:v>
      </x:c>
      <x:c r="H13" s="25" t="n">
        <x:v>0</x:v>
      </x:c>
      <x:c r="I13" s="25" t="n">
        <x:v>0</x:v>
      </x:c>
      <x:c r="J13" s="25" t="n">
        <x:v>0</x:v>
      </x:c>
      <x:c r="K13" s="25" t="n">
        <x:v>0</x:v>
      </x:c>
      <x:c r="L13" s="25" t="n">
        <x:v>0</x:v>
      </x:c>
      <x:c r="M13" s="36" t="str">
        <x:f>IF(C13=0,"",E13/C13)</x:f>
      </x:c>
      <x:c r="N13" s="36" t="str">
        <x:f>IF(B13=0,"",G13/B13)</x:f>
      </x:c>
      <x:c r="O13" s="25" t="str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8" t="n">
        <x:v>46258.85428778935</x:v>
      </x:c>
      <x:c r="B14" s="25" t="n">
        <x:v>0</x:v>
      </x:c>
      <x:c r="C14" s="25" t="n">
        <x:v>0</x:v>
      </x:c>
      <x:c r="D14" s="25" t="n">
        <x:v>0</x:v>
      </x:c>
      <x:c r="E14" s="25" t="n">
        <x:v>0</x:v>
      </x:c>
      <x:c r="F14" s="25" t="n">
        <x:v>0</x:v>
      </x:c>
      <x:c r="G14" s="25" t="n">
        <x:v>0</x:v>
      </x:c>
      <x:c r="H14" s="25" t="n">
        <x:v>0</x:v>
      </x:c>
      <x:c r="I14" s="25" t="n">
        <x:v>0</x:v>
      </x:c>
      <x:c r="J14" s="25" t="n">
        <x:v>0</x:v>
      </x:c>
      <x:c r="K14" s="25" t="n">
        <x:v>0</x:v>
      </x:c>
      <x:c r="L14" s="25" t="n">
        <x:v>0</x:v>
      </x:c>
      <x:c r="M14" s="36" t="str">
        <x:f>IF(C14=0,"",E14/C14)</x:f>
      </x:c>
      <x:c r="N14" s="36" t="str">
        <x:f>IF(B14=0,"",G14/B14)</x:f>
      </x:c>
      <x:c r="O14" s="25" t="str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8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36" t="str">
        <x:f>IF(C15=0,"",E15/C15)</x:f>
      </x:c>
      <x:c r="N15" s="36" t="str">
        <x:f>IF(B15=0,"",G15/B15)</x:f>
      </x:c>
      <x:c r="O15" s="25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8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36" t="str">
        <x:f>IF(C16=0,"",E16/C16)</x:f>
      </x:c>
      <x:c r="N16" s="36" t="str">
        <x:f>IF(B16=0,"",G16/B16)</x:f>
      </x:c>
      <x:c r="O16" s="25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8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36" t="str">
        <x:f>IF(C17=0,"",E17/C17)</x:f>
      </x:c>
      <x:c r="N17" s="36" t="str">
        <x:f>IF(B17=0,"",G17/B17)</x:f>
      </x:c>
      <x:c r="O17" s="25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8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36" t="str">
        <x:f>IF(C18=0,"",E18/C18)</x:f>
      </x:c>
      <x:c r="N18" s="36" t="str">
        <x:f>IF(B18=0,"",G18/B18)</x:f>
      </x:c>
      <x:c r="O18" s="25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8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36" t="str">
        <x:f>IF(C19=0,"",E19/C19)</x:f>
      </x:c>
      <x:c r="N19" s="36" t="str">
        <x:f>IF(B19=0,"",G19/B19)</x:f>
      </x:c>
      <x:c r="O19" s="25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8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36" t="str">
        <x:f>IF(C20=0,"",E20/C20)</x:f>
      </x:c>
      <x:c r="N20" s="36" t="str">
        <x:f>IF(B20=0,"",G20/B20)</x:f>
      </x:c>
      <x:c r="O20" s="25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8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36" t="str">
        <x:f>IF(C21=0,"",E21/C21)</x:f>
      </x:c>
      <x:c r="N21" s="36" t="str">
        <x:f>IF(B21=0,"",G21/B21)</x:f>
      </x:c>
      <x:c r="O21" s="25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8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36" t="str">
        <x:f>IF(C22=0,"",E22/C22)</x:f>
      </x:c>
      <x:c r="N22" s="36" t="str">
        <x:f>IF(B22=0,"",G22/B22)</x:f>
      </x:c>
      <x:c r="O22" s="25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8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36" t="str">
        <x:f>IF(C23=0,"",E23/C23)</x:f>
      </x:c>
      <x:c r="N23" s="36" t="str">
        <x:f>IF(B23=0,"",G23/B23)</x:f>
      </x:c>
      <x:c r="O23" s="25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8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36" t="str">
        <x:f>IF(C24=0,"",E24/C24)</x:f>
      </x:c>
      <x:c r="N24" s="36" t="str">
        <x:f>IF(B24=0,"",G24/B24)</x:f>
      </x:c>
      <x:c r="O24" s="25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8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36" t="str">
        <x:f>IF(C25=0,"",E25/C25)</x:f>
      </x:c>
      <x:c r="N25" s="36" t="str">
        <x:f>IF(B25=0,"",G25/B25)</x:f>
      </x:c>
      <x:c r="O25" s="25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8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36" t="str">
        <x:f>IF(C26=0,"",E26/C26)</x:f>
      </x:c>
      <x:c r="N26" s="36" t="str">
        <x:f>IF(B26=0,"",G26/B26)</x:f>
      </x:c>
      <x:c r="O26" s="25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8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36" t="str">
        <x:f>IF(C27=0,"",E27/C27)</x:f>
      </x:c>
      <x:c r="N27" s="36" t="str">
        <x:f>IF(B27=0,"",G27/B27)</x:f>
      </x:c>
      <x:c r="O27" s="25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8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36" t="str">
        <x:f>IF(C28=0,"",E28/C28)</x:f>
      </x:c>
      <x:c r="N28" s="36" t="str">
        <x:f>IF(B28=0,"",G28/B28)</x:f>
      </x:c>
      <x:c r="O28" s="25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8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36" t="str">
        <x:f>IF(C29=0,"",E29/C29)</x:f>
      </x:c>
      <x:c r="N29" s="36" t="str">
        <x:f>IF(B29=0,"",G29/B29)</x:f>
      </x:c>
      <x:c r="O29" s="25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8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36" t="str">
        <x:f>IF(C30=0,"",E30/C30)</x:f>
      </x:c>
      <x:c r="N30" s="36" t="str">
        <x:f>IF(B30=0,"",G30/B30)</x:f>
      </x:c>
      <x:c r="O30" s="25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8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36" t="str">
        <x:f>IF(C31=0,"",E31/C31)</x:f>
      </x:c>
      <x:c r="N31" s="36" t="str">
        <x:f>IF(B31=0,"",G31/B31)</x:f>
      </x:c>
      <x:c r="O31" s="25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8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36" t="str">
        <x:f>IF(C32=0,"",E32/C32)</x:f>
      </x:c>
      <x:c r="N32" s="36" t="str">
        <x:f>IF(B32=0,"",G32/B32)</x:f>
      </x:c>
      <x:c r="O32" s="25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8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36" t="str">
        <x:f>IF(C33=0,"",E33/C33)</x:f>
      </x:c>
      <x:c r="N33" s="36" t="str">
        <x:f>IF(B33=0,"",G33/B33)</x:f>
      </x:c>
      <x:c r="O33" s="25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8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36" t="str">
        <x:f>IF(C34=0,"",E34/C34)</x:f>
      </x:c>
      <x:c r="N34" s="36" t="str">
        <x:f>IF(B34=0,"",G34/B34)</x:f>
      </x:c>
      <x:c r="O34" s="25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8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36" t="str">
        <x:f>IF(C35=0,"",E35/C35)</x:f>
      </x:c>
      <x:c r="N35" s="36" t="str">
        <x:f>IF(B35=0,"",G35/B35)</x:f>
      </x:c>
      <x:c r="O35" s="25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8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36" t="str">
        <x:f>IF(C36=0,"",E36/C36)</x:f>
      </x:c>
      <x:c r="N36" s="36" t="str">
        <x:f>IF(B36=0,"",G36/B36)</x:f>
      </x:c>
      <x:c r="O36" s="25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8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36" t="str">
        <x:f>IF(C37=0,"",E37/C37)</x:f>
      </x:c>
      <x:c r="N37" s="36" t="str">
        <x:f>IF(B37=0,"",G37/B37)</x:f>
      </x:c>
      <x:c r="O37" s="25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8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36" t="str">
        <x:f>IF(C38=0,"",E38/C38)</x:f>
      </x:c>
      <x:c r="N38" s="36" t="str">
        <x:f>IF(B38=0,"",G38/B38)</x:f>
      </x:c>
      <x:c r="O38" s="25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8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36" t="str">
        <x:f>IF(C39=0,"",E39/C39)</x:f>
      </x:c>
      <x:c r="N39" s="36" t="str">
        <x:f>IF(B39=0,"",G39/B39)</x:f>
      </x:c>
      <x:c r="O39" s="25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8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36" t="str">
        <x:f>IF(C40=0,"",E40/C40)</x:f>
      </x:c>
      <x:c r="N40" s="36" t="str">
        <x:f>IF(B40=0,"",G40/B40)</x:f>
      </x:c>
      <x:c r="O40" s="25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8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36" t="str">
        <x:f>IF(C41=0,"",E41/C41)</x:f>
      </x:c>
      <x:c r="N41" s="36" t="str">
        <x:f>IF(B41=0,"",G41/B41)</x:f>
      </x:c>
      <x:c r="O41" s="25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8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36" t="str">
        <x:f>IF(C42=0,"",E42/C42)</x:f>
      </x:c>
      <x:c r="N42" s="36" t="str">
        <x:f>IF(B42=0,"",G42/B42)</x:f>
      </x:c>
      <x:c r="O42" s="25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8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36" t="str">
        <x:f>IF(C43=0,"",E43/C43)</x:f>
      </x:c>
      <x:c r="N43" s="36" t="str">
        <x:f>IF(B43=0,"",G43/B43)</x:f>
      </x:c>
      <x:c r="O43" s="25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8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36" t="str">
        <x:f>IF(C44=0,"",E44/C44)</x:f>
      </x:c>
      <x:c r="N44" s="36" t="str">
        <x:f>IF(B44=0,"",G44/B44)</x:f>
      </x:c>
      <x:c r="O44" s="25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8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36" t="str">
        <x:f>IF(C45=0,"",E45/C45)</x:f>
      </x:c>
      <x:c r="N45" s="36" t="str">
        <x:f>IF(B45=0,"",G45/B45)</x:f>
      </x:c>
      <x:c r="O45" s="25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8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36" t="str">
        <x:f>IF(C46=0,"",E46/C46)</x:f>
      </x:c>
      <x:c r="N46" s="36" t="str">
        <x:f>IF(B46=0,"",G46/B46)</x:f>
      </x:c>
      <x:c r="O46" s="25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8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36" t="str">
        <x:f>IF(C47=0,"",E47/C47)</x:f>
      </x:c>
      <x:c r="N47" s="36" t="str">
        <x:f>IF(B47=0,"",G47/B47)</x:f>
      </x:c>
      <x:c r="O47" s="25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8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36" t="str">
        <x:f>IF(C48=0,"",E48/C48)</x:f>
      </x:c>
      <x:c r="N48" s="36" t="str">
        <x:f>IF(B48=0,"",G48/B48)</x:f>
      </x:c>
      <x:c r="O48" s="25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8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36" t="str">
        <x:f>IF(C49=0,"",E49/C49)</x:f>
      </x:c>
      <x:c r="N49" s="36" t="str">
        <x:f>IF(B49=0,"",G49/B49)</x:f>
      </x:c>
      <x:c r="O49" s="25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8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36" t="str">
        <x:f>IF(C50=0,"",E50/C50)</x:f>
      </x:c>
      <x:c r="N50" s="36" t="str">
        <x:f>IF(B50=0,"",G50/B50)</x:f>
      </x:c>
      <x:c r="O50" s="25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8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36" t="str">
        <x:f>IF(C51=0,"",E51/C51)</x:f>
      </x:c>
      <x:c r="N51" s="36" t="str">
        <x:f>IF(B51=0,"",G51/B51)</x:f>
      </x:c>
      <x:c r="O51" s="25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8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36" t="str">
        <x:f>IF(C52=0,"",E52/C52)</x:f>
      </x:c>
      <x:c r="N52" s="36" t="str">
        <x:f>IF(B52=0,"",G52/B52)</x:f>
      </x:c>
      <x:c r="O52" s="25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8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36" t="str">
        <x:f>IF(C53=0,"",E53/C53)</x:f>
      </x:c>
      <x:c r="N53" s="36" t="str">
        <x:f>IF(B53=0,"",G53/B53)</x:f>
      </x:c>
      <x:c r="O53" s="25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8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36" t="str">
        <x:f>IF(C54=0,"",E54/C54)</x:f>
      </x:c>
      <x:c r="N54" s="36" t="str">
        <x:f>IF(B54=0,"",G54/B54)</x:f>
      </x:c>
      <x:c r="O54" s="25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O1"/>
  </x:mergeCells>
  <x:conditionalFormatting sqref="M3:N54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2b8b3297454b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8" hidden="0" customWidth="1"/>
    <x:col min="4" max="4" width="34" hidden="0" customWidth="1"/>
    <x:col min="5" max="5" width="16" hidden="0" customWidth="1"/>
    <x:col min="6" max="6" width="14" hidden="0" customWidth="1"/>
    <x:col min="7" max="7" width="14" hidden="0" customWidth="1"/>
    <x:col min="8" max="8" width="30" hidden="0" customWidth="1"/>
    <x:col min="9" max="9" width="40" hidden="0" customWidth="1"/>
  </x:cols>
  <x:sheetData>
    <x:row r="1" ht="28" customHeight="1">
      <x:c r="A1" s="20" t="str">
        <x:v>Skill Sprint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Skill</x:v>
      </x:c>
      <x:c r="B2" s="24" t="str">
        <x:v>Priority</x:v>
      </x:c>
      <x:c r="C2" s="24" t="str">
        <x:v>Current Level</x:v>
      </x:c>
      <x:c r="D2" s="24" t="str">
        <x:v>Target Artifact</x:v>
      </x:c>
      <x:c r="E2" s="24" t="str">
        <x:v>Status</x:v>
      </x:c>
      <x:c r="F2" s="24" t="str">
        <x:v>Weekly Hours</x:v>
      </x:c>
      <x:c r="G2" s="24" t="str">
        <x:v>Due Date</x:v>
      </x:c>
      <x:c r="H2" s="24" t="str">
        <x:v>Evidence Link</x:v>
      </x:c>
      <x:c r="I2" s="24" t="str">
        <x:v>Notes</x:v>
      </x:c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5" t="str">
        <x:v>Unity Profiling</x:v>
      </x:c>
      <x:c r="B3" s="25" t="n">
        <x:v>1</x:v>
      </x:c>
      <x:c r="C3" s="25" t="str">
        <x:v>Basic</x:v>
      </x:c>
      <x:c r="D3" s="25" t="str">
        <x:v>Before/after profiling note</x:v>
      </x:c>
      <x:c r="E3" s="25" t="str">
        <x:v>Not Started</x:v>
      </x:c>
      <x:c r="F3" s="25" t="n">
        <x:v>2</x:v>
      </x:c>
      <x:c r="G3" s="28" t="n">
        <x:v>46195.85428778935</x:v>
      </x:c>
      <x:c r="H3" s="25" t="str"/>
      <x:c r="I3" s="25" t="str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5" t="str">
        <x:v>Unity WebGL Optimization</x:v>
      </x:c>
      <x:c r="B4" s="25" t="n">
        <x:v>2</x:v>
      </x:c>
      <x:c r="C4" s="25" t="str">
        <x:v>Basic</x:v>
      </x:c>
      <x:c r="D4" s="25" t="str">
        <x:v>Build-size/performance note</x:v>
      </x:c>
      <x:c r="E4" s="25" t="str">
        <x:v>Not Started</x:v>
      </x:c>
      <x:c r="F4" s="25" t="n">
        <x:v>2</x:v>
      </x:c>
      <x:c r="G4" s="28" t="n">
        <x:v>46202.85428778935</x:v>
      </x:c>
      <x:c r="H4" s="25" t="str"/>
      <x:c r="I4" s="25" t="str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5" t="str">
        <x:v>C# Architecture</x:v>
      </x:c>
      <x:c r="B5" s="25" t="n">
        <x:v>3</x:v>
      </x:c>
      <x:c r="C5" s="25" t="str">
        <x:v>Basic-Mid</x:v>
      </x:c>
      <x:c r="D5" s="25" t="str">
        <x:v>Refactor snippet / code walkthrough</x:v>
      </x:c>
      <x:c r="E5" s="25" t="str">
        <x:v>Not Started</x:v>
      </x:c>
      <x:c r="F5" s="25" t="n">
        <x:v>2</x:v>
      </x:c>
      <x:c r="G5" s="28" t="n">
        <x:v>46209.85428778935</x:v>
      </x:c>
      <x:c r="H5" s="25" t="str"/>
      <x:c r="I5" s="25" t="str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5" t="str">
        <x:v>Shader Graph / HLSL</x:v>
      </x:c>
      <x:c r="B6" s="25" t="n">
        <x:v>4</x:v>
      </x:c>
      <x:c r="C6" s="25" t="str">
        <x:v>Basic</x:v>
      </x:c>
      <x:c r="D6" s="25" t="str">
        <x:v>Small visual mode demo</x:v>
      </x:c>
      <x:c r="E6" s="25" t="str">
        <x:v>Not Started</x:v>
      </x:c>
      <x:c r="F6" s="25" t="n">
        <x:v>1</x:v>
      </x:c>
      <x:c r="G6" s="28" t="n">
        <x:v>46216.85428778935</x:v>
      </x:c>
      <x:c r="H6" s="25" t="str"/>
      <x:c r="I6" s="25" t="str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5" t="str">
        <x:v>German A1/A2</x:v>
      </x:c>
      <x:c r="B7" s="25" t="n">
        <x:v>10</x:v>
      </x:c>
      <x:c r="C7" s="25" t="str">
        <x:v>Beginner</x:v>
      </x:c>
      <x:c r="D7" s="25" t="str">
        <x:v>CEFR progress checkpoint</x:v>
      </x:c>
      <x:c r="E7" s="25" t="str">
        <x:v>Not Started</x:v>
      </x:c>
      <x:c r="F7" s="25" t="n">
        <x:v>2</x:v>
      </x:c>
      <x:c r="G7" s="28" t="n">
        <x:v>46241.85428778935</x:v>
      </x:c>
      <x:c r="H7" s="25" t="str"/>
      <x:c r="I7" s="25" t="str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5"/>
      <x:c r="B8" s="25"/>
      <x:c r="C8" s="25"/>
      <x:c r="D8" s="25"/>
      <x:c r="E8" s="25"/>
      <x:c r="F8" s="25"/>
      <x:c r="G8" s="28"/>
      <x:c r="H8" s="25"/>
      <x:c r="I8" s="25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5"/>
      <x:c r="B9" s="25"/>
      <x:c r="C9" s="25"/>
      <x:c r="D9" s="25"/>
      <x:c r="E9" s="25"/>
      <x:c r="F9" s="25"/>
      <x:c r="G9" s="28"/>
      <x:c r="H9" s="25"/>
      <x:c r="I9" s="25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5"/>
      <x:c r="B10" s="25"/>
      <x:c r="C10" s="25"/>
      <x:c r="D10" s="25"/>
      <x:c r="E10" s="25"/>
      <x:c r="F10" s="25"/>
      <x:c r="G10" s="28"/>
      <x:c r="H10" s="25"/>
      <x:c r="I10" s="25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5"/>
      <x:c r="B11" s="25"/>
      <x:c r="C11" s="25"/>
      <x:c r="D11" s="25"/>
      <x:c r="E11" s="25"/>
      <x:c r="F11" s="25"/>
      <x:c r="G11" s="28"/>
      <x:c r="H11" s="25"/>
      <x:c r="I11" s="25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5"/>
      <x:c r="B12" s="25"/>
      <x:c r="C12" s="25"/>
      <x:c r="D12" s="25"/>
      <x:c r="E12" s="25"/>
      <x:c r="F12" s="25"/>
      <x:c r="G12" s="28"/>
      <x:c r="H12" s="25"/>
      <x:c r="I12" s="25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5"/>
      <x:c r="B13" s="25"/>
      <x:c r="C13" s="25"/>
      <x:c r="D13" s="25"/>
      <x:c r="E13" s="25"/>
      <x:c r="F13" s="25"/>
      <x:c r="G13" s="28"/>
      <x:c r="H13" s="25"/>
      <x:c r="I13" s="25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5"/>
      <x:c r="B14" s="25"/>
      <x:c r="C14" s="25"/>
      <x:c r="D14" s="25"/>
      <x:c r="E14" s="25"/>
      <x:c r="F14" s="25"/>
      <x:c r="G14" s="28"/>
      <x:c r="H14" s="25"/>
      <x:c r="I14" s="25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5"/>
      <x:c r="B15" s="25"/>
      <x:c r="C15" s="25"/>
      <x:c r="D15" s="25"/>
      <x:c r="E15" s="25"/>
      <x:c r="F15" s="25"/>
      <x:c r="G15" s="28"/>
      <x:c r="H15" s="25"/>
      <x:c r="I15" s="25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5"/>
      <x:c r="B16" s="25"/>
      <x:c r="C16" s="25"/>
      <x:c r="D16" s="25"/>
      <x:c r="E16" s="25"/>
      <x:c r="F16" s="25"/>
      <x:c r="G16" s="28"/>
      <x:c r="H16" s="25"/>
      <x:c r="I16" s="25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5"/>
      <x:c r="B17" s="25"/>
      <x:c r="C17" s="25"/>
      <x:c r="D17" s="25"/>
      <x:c r="E17" s="25"/>
      <x:c r="F17" s="25"/>
      <x:c r="G17" s="28"/>
      <x:c r="H17" s="25"/>
      <x:c r="I17" s="25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5"/>
      <x:c r="B18" s="25"/>
      <x:c r="C18" s="25"/>
      <x:c r="D18" s="25"/>
      <x:c r="E18" s="25"/>
      <x:c r="F18" s="25"/>
      <x:c r="G18" s="28"/>
      <x:c r="H18" s="25"/>
      <x:c r="I18" s="25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5"/>
      <x:c r="B19" s="25"/>
      <x:c r="C19" s="25"/>
      <x:c r="D19" s="25"/>
      <x:c r="E19" s="25"/>
      <x:c r="F19" s="25"/>
      <x:c r="G19" s="28"/>
      <x:c r="H19" s="25"/>
      <x:c r="I19" s="25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5"/>
      <x:c r="B20" s="25"/>
      <x:c r="C20" s="25"/>
      <x:c r="D20" s="25"/>
      <x:c r="E20" s="25"/>
      <x:c r="F20" s="25"/>
      <x:c r="G20" s="28"/>
      <x:c r="H20" s="25"/>
      <x:c r="I20" s="25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5"/>
      <x:c r="B21" s="25"/>
      <x:c r="C21" s="25"/>
      <x:c r="D21" s="25"/>
      <x:c r="E21" s="25"/>
      <x:c r="F21" s="25"/>
      <x:c r="G21" s="28"/>
      <x:c r="H21" s="25"/>
      <x:c r="I21" s="25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5"/>
      <x:c r="B22" s="25"/>
      <x:c r="C22" s="25"/>
      <x:c r="D22" s="25"/>
      <x:c r="E22" s="25"/>
      <x:c r="F22" s="25"/>
      <x:c r="G22" s="28"/>
      <x:c r="H22" s="25"/>
      <x:c r="I22" s="25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5"/>
      <x:c r="B23" s="25"/>
      <x:c r="C23" s="25"/>
      <x:c r="D23" s="25"/>
      <x:c r="E23" s="25"/>
      <x:c r="F23" s="25"/>
      <x:c r="G23" s="28"/>
      <x:c r="H23" s="25"/>
      <x:c r="I23" s="25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5"/>
      <x:c r="B24" s="25"/>
      <x:c r="C24" s="25"/>
      <x:c r="D24" s="25"/>
      <x:c r="E24" s="25"/>
      <x:c r="F24" s="25"/>
      <x:c r="G24" s="28"/>
      <x:c r="H24" s="25"/>
      <x:c r="I24" s="25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5"/>
      <x:c r="B25" s="25"/>
      <x:c r="C25" s="25"/>
      <x:c r="D25" s="25"/>
      <x:c r="E25" s="25"/>
      <x:c r="F25" s="25"/>
      <x:c r="G25" s="28"/>
      <x:c r="H25" s="25"/>
      <x:c r="I25" s="25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5"/>
      <x:c r="B26" s="25"/>
      <x:c r="C26" s="25"/>
      <x:c r="D26" s="25"/>
      <x:c r="E26" s="25"/>
      <x:c r="F26" s="25"/>
      <x:c r="G26" s="28"/>
      <x:c r="H26" s="25"/>
      <x:c r="I26" s="25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5"/>
      <x:c r="B27" s="25"/>
      <x:c r="C27" s="25"/>
      <x:c r="D27" s="25"/>
      <x:c r="E27" s="25"/>
      <x:c r="F27" s="25"/>
      <x:c r="G27" s="28"/>
      <x:c r="H27" s="25"/>
      <x:c r="I27" s="25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5"/>
      <x:c r="B28" s="25"/>
      <x:c r="C28" s="25"/>
      <x:c r="D28" s="25"/>
      <x:c r="E28" s="25"/>
      <x:c r="F28" s="25"/>
      <x:c r="G28" s="28"/>
      <x:c r="H28" s="25"/>
      <x:c r="I28" s="25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5"/>
      <x:c r="B29" s="25"/>
      <x:c r="C29" s="25"/>
      <x:c r="D29" s="25"/>
      <x:c r="E29" s="25"/>
      <x:c r="F29" s="25"/>
      <x:c r="G29" s="28"/>
      <x:c r="H29" s="25"/>
      <x:c r="I29" s="25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5"/>
      <x:c r="B30" s="25"/>
      <x:c r="C30" s="25"/>
      <x:c r="D30" s="25"/>
      <x:c r="E30" s="25"/>
      <x:c r="F30" s="25"/>
      <x:c r="G30" s="28"/>
      <x:c r="H30" s="25"/>
      <x:c r="I30" s="25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5"/>
      <x:c r="B31" s="25"/>
      <x:c r="C31" s="25"/>
      <x:c r="D31" s="25"/>
      <x:c r="E31" s="25"/>
      <x:c r="F31" s="25"/>
      <x:c r="G31" s="28"/>
      <x:c r="H31" s="25"/>
      <x:c r="I31" s="25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5"/>
      <x:c r="B32" s="25"/>
      <x:c r="C32" s="25"/>
      <x:c r="D32" s="25"/>
      <x:c r="E32" s="25"/>
      <x:c r="F32" s="25"/>
      <x:c r="G32" s="28"/>
      <x:c r="H32" s="25"/>
      <x:c r="I32" s="25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5"/>
      <x:c r="B33" s="25"/>
      <x:c r="C33" s="25"/>
      <x:c r="D33" s="25"/>
      <x:c r="E33" s="25"/>
      <x:c r="F33" s="25"/>
      <x:c r="G33" s="28"/>
      <x:c r="H33" s="25"/>
      <x:c r="I33" s="25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5"/>
      <x:c r="B34" s="25"/>
      <x:c r="C34" s="25"/>
      <x:c r="D34" s="25"/>
      <x:c r="E34" s="25"/>
      <x:c r="F34" s="25"/>
      <x:c r="G34" s="28"/>
      <x:c r="H34" s="25"/>
      <x:c r="I34" s="25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5"/>
      <x:c r="B35" s="25"/>
      <x:c r="C35" s="25"/>
      <x:c r="D35" s="25"/>
      <x:c r="E35" s="25"/>
      <x:c r="F35" s="25"/>
      <x:c r="G35" s="28"/>
      <x:c r="H35" s="25"/>
      <x:c r="I35" s="25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5"/>
      <x:c r="B36" s="25"/>
      <x:c r="C36" s="25"/>
      <x:c r="D36" s="25"/>
      <x:c r="E36" s="25"/>
      <x:c r="F36" s="25"/>
      <x:c r="G36" s="28"/>
      <x:c r="H36" s="25"/>
      <x:c r="I36" s="25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5"/>
      <x:c r="B37" s="25"/>
      <x:c r="C37" s="25"/>
      <x:c r="D37" s="25"/>
      <x:c r="E37" s="25"/>
      <x:c r="F37" s="25"/>
      <x:c r="G37" s="28"/>
      <x:c r="H37" s="25"/>
      <x:c r="I37" s="25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5"/>
      <x:c r="B38" s="25"/>
      <x:c r="C38" s="25"/>
      <x:c r="D38" s="25"/>
      <x:c r="E38" s="25"/>
      <x:c r="F38" s="25"/>
      <x:c r="G38" s="28"/>
      <x:c r="H38" s="25"/>
      <x:c r="I38" s="25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5"/>
      <x:c r="B39" s="25"/>
      <x:c r="C39" s="25"/>
      <x:c r="D39" s="25"/>
      <x:c r="E39" s="25"/>
      <x:c r="F39" s="25"/>
      <x:c r="G39" s="28"/>
      <x:c r="H39" s="25"/>
      <x:c r="I39" s="25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5"/>
      <x:c r="B40" s="25"/>
      <x:c r="C40" s="25"/>
      <x:c r="D40" s="25"/>
      <x:c r="E40" s="25"/>
      <x:c r="F40" s="25"/>
      <x:c r="G40" s="28"/>
      <x:c r="H40" s="25"/>
      <x:c r="I40" s="25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5"/>
      <x:c r="B41" s="25"/>
      <x:c r="C41" s="25"/>
      <x:c r="D41" s="25"/>
      <x:c r="E41" s="25"/>
      <x:c r="F41" s="25"/>
      <x:c r="G41" s="28"/>
      <x:c r="H41" s="25"/>
      <x:c r="I41" s="25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5"/>
      <x:c r="B42" s="25"/>
      <x:c r="C42" s="25"/>
      <x:c r="D42" s="25"/>
      <x:c r="E42" s="25"/>
      <x:c r="F42" s="25"/>
      <x:c r="G42" s="28"/>
      <x:c r="H42" s="25"/>
      <x:c r="I42" s="25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5"/>
      <x:c r="B43" s="25"/>
      <x:c r="C43" s="25"/>
      <x:c r="D43" s="25"/>
      <x:c r="E43" s="25"/>
      <x:c r="F43" s="25"/>
      <x:c r="G43" s="28"/>
      <x:c r="H43" s="25"/>
      <x:c r="I43" s="25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5"/>
      <x:c r="B44" s="25"/>
      <x:c r="C44" s="25"/>
      <x:c r="D44" s="25"/>
      <x:c r="E44" s="25"/>
      <x:c r="F44" s="25"/>
      <x:c r="G44" s="28"/>
      <x:c r="H44" s="25"/>
      <x:c r="I44" s="25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5"/>
      <x:c r="B45" s="25"/>
      <x:c r="C45" s="25"/>
      <x:c r="D45" s="25"/>
      <x:c r="E45" s="25"/>
      <x:c r="F45" s="25"/>
      <x:c r="G45" s="28"/>
      <x:c r="H45" s="25"/>
      <x:c r="I45" s="25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5"/>
      <x:c r="B46" s="25"/>
      <x:c r="C46" s="25"/>
      <x:c r="D46" s="25"/>
      <x:c r="E46" s="25"/>
      <x:c r="F46" s="25"/>
      <x:c r="G46" s="28"/>
      <x:c r="H46" s="25"/>
      <x:c r="I46" s="25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5"/>
      <x:c r="B47" s="25"/>
      <x:c r="C47" s="25"/>
      <x:c r="D47" s="25"/>
      <x:c r="E47" s="25"/>
      <x:c r="F47" s="25"/>
      <x:c r="G47" s="28"/>
      <x:c r="H47" s="25"/>
      <x:c r="I47" s="25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5"/>
      <x:c r="B48" s="25"/>
      <x:c r="C48" s="25"/>
      <x:c r="D48" s="25"/>
      <x:c r="E48" s="25"/>
      <x:c r="F48" s="25"/>
      <x:c r="G48" s="28"/>
      <x:c r="H48" s="25"/>
      <x:c r="I48" s="25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5"/>
      <x:c r="B49" s="25"/>
      <x:c r="C49" s="25"/>
      <x:c r="D49" s="25"/>
      <x:c r="E49" s="25"/>
      <x:c r="F49" s="25"/>
      <x:c r="G49" s="28"/>
      <x:c r="H49" s="25"/>
      <x:c r="I49" s="25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5"/>
      <x:c r="B50" s="25"/>
      <x:c r="C50" s="25"/>
      <x:c r="D50" s="25"/>
      <x:c r="E50" s="25"/>
      <x:c r="F50" s="25"/>
      <x:c r="G50" s="28"/>
      <x:c r="H50" s="25"/>
      <x:c r="I50" s="25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5"/>
      <x:c r="B51" s="25"/>
      <x:c r="C51" s="25"/>
      <x:c r="D51" s="25"/>
      <x:c r="E51" s="25"/>
      <x:c r="F51" s="25"/>
      <x:c r="G51" s="28"/>
      <x:c r="H51" s="25"/>
      <x:c r="I51" s="25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5"/>
      <x:c r="B52" s="25"/>
      <x:c r="C52" s="25"/>
      <x:c r="D52" s="25"/>
      <x:c r="E52" s="25"/>
      <x:c r="F52" s="25"/>
      <x:c r="G52" s="28"/>
      <x:c r="H52" s="25"/>
      <x:c r="I52" s="25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5"/>
      <x:c r="B53" s="25"/>
      <x:c r="C53" s="25"/>
      <x:c r="D53" s="25"/>
      <x:c r="E53" s="25"/>
      <x:c r="F53" s="25"/>
      <x:c r="G53" s="28"/>
      <x:c r="H53" s="25"/>
      <x:c r="I53" s="25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5"/>
      <x:c r="B54" s="25"/>
      <x:c r="C54" s="25"/>
      <x:c r="D54" s="25"/>
      <x:c r="E54" s="25"/>
      <x:c r="F54" s="25"/>
      <x:c r="G54" s="28"/>
      <x:c r="H54" s="25"/>
      <x:c r="I54" s="25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5"/>
      <x:c r="B55" s="25"/>
      <x:c r="C55" s="25"/>
      <x:c r="D55" s="25"/>
      <x:c r="E55" s="25"/>
      <x:c r="F55" s="25"/>
      <x:c r="G55" s="28"/>
      <x:c r="H55" s="25"/>
      <x:c r="I55" s="25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5"/>
      <x:c r="B56" s="25"/>
      <x:c r="C56" s="25"/>
      <x:c r="D56" s="25"/>
      <x:c r="E56" s="25"/>
      <x:c r="F56" s="25"/>
      <x:c r="G56" s="28"/>
      <x:c r="H56" s="25"/>
      <x:c r="I56" s="25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5"/>
      <x:c r="B57" s="25"/>
      <x:c r="C57" s="25"/>
      <x:c r="D57" s="25"/>
      <x:c r="E57" s="25"/>
      <x:c r="F57" s="25"/>
      <x:c r="G57" s="28"/>
      <x:c r="H57" s="25"/>
      <x:c r="I57" s="25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5"/>
      <x:c r="B58" s="25"/>
      <x:c r="C58" s="25"/>
      <x:c r="D58" s="25"/>
      <x:c r="E58" s="25"/>
      <x:c r="F58" s="25"/>
      <x:c r="G58" s="28"/>
      <x:c r="H58" s="25"/>
      <x:c r="I58" s="25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5"/>
      <x:c r="B59" s="25"/>
      <x:c r="C59" s="25"/>
      <x:c r="D59" s="25"/>
      <x:c r="E59" s="25"/>
      <x:c r="F59" s="25"/>
      <x:c r="G59" s="28"/>
      <x:c r="H59" s="25"/>
      <x:c r="I59" s="25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5"/>
      <x:c r="B60" s="25"/>
      <x:c r="C60" s="25"/>
      <x:c r="D60" s="25"/>
      <x:c r="E60" s="25"/>
      <x:c r="F60" s="25"/>
      <x:c r="G60" s="28"/>
      <x:c r="H60" s="25"/>
      <x:c r="I60" s="25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5"/>
      <x:c r="B61" s="25"/>
      <x:c r="C61" s="25"/>
      <x:c r="D61" s="25"/>
      <x:c r="E61" s="25"/>
      <x:c r="F61" s="25"/>
      <x:c r="G61" s="28"/>
      <x:c r="H61" s="25"/>
      <x:c r="I61" s="25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5"/>
      <x:c r="B62" s="25"/>
      <x:c r="C62" s="25"/>
      <x:c r="D62" s="25"/>
      <x:c r="E62" s="25"/>
      <x:c r="F62" s="25"/>
      <x:c r="G62" s="28"/>
      <x:c r="H62" s="25"/>
      <x:c r="I62" s="25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5"/>
      <x:c r="B63" s="25"/>
      <x:c r="C63" s="25"/>
      <x:c r="D63" s="25"/>
      <x:c r="E63" s="25"/>
      <x:c r="F63" s="25"/>
      <x:c r="G63" s="28"/>
      <x:c r="H63" s="25"/>
      <x:c r="I63" s="25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5"/>
      <x:c r="B64" s="25"/>
      <x:c r="C64" s="25"/>
      <x:c r="D64" s="25"/>
      <x:c r="E64" s="25"/>
      <x:c r="F64" s="25"/>
      <x:c r="G64" s="28"/>
      <x:c r="H64" s="25"/>
      <x:c r="I64" s="25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5"/>
      <x:c r="B65" s="25"/>
      <x:c r="C65" s="25"/>
      <x:c r="D65" s="25"/>
      <x:c r="E65" s="25"/>
      <x:c r="F65" s="25"/>
      <x:c r="G65" s="28"/>
      <x:c r="H65" s="25"/>
      <x:c r="I65" s="25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5"/>
      <x:c r="B66" s="25"/>
      <x:c r="C66" s="25"/>
      <x:c r="D66" s="25"/>
      <x:c r="E66" s="25"/>
      <x:c r="F66" s="25"/>
      <x:c r="G66" s="28"/>
      <x:c r="H66" s="25"/>
      <x:c r="I66" s="25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5"/>
      <x:c r="B67" s="25"/>
      <x:c r="C67" s="25"/>
      <x:c r="D67" s="25"/>
      <x:c r="E67" s="25"/>
      <x:c r="F67" s="25"/>
      <x:c r="G67" s="28"/>
      <x:c r="H67" s="25"/>
      <x:c r="I67" s="25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5"/>
      <x:c r="B68" s="25"/>
      <x:c r="C68" s="25"/>
      <x:c r="D68" s="25"/>
      <x:c r="E68" s="25"/>
      <x:c r="F68" s="25"/>
      <x:c r="G68" s="28"/>
      <x:c r="H68" s="25"/>
      <x:c r="I68" s="25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5"/>
      <x:c r="B69" s="25"/>
      <x:c r="C69" s="25"/>
      <x:c r="D69" s="25"/>
      <x:c r="E69" s="25"/>
      <x:c r="F69" s="25"/>
      <x:c r="G69" s="28"/>
      <x:c r="H69" s="25"/>
      <x:c r="I69" s="25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5"/>
      <x:c r="B70" s="25"/>
      <x:c r="C70" s="25"/>
      <x:c r="D70" s="25"/>
      <x:c r="E70" s="25"/>
      <x:c r="F70" s="25"/>
      <x:c r="G70" s="28"/>
      <x:c r="H70" s="25"/>
      <x:c r="I70" s="25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5"/>
      <x:c r="B71" s="25"/>
      <x:c r="C71" s="25"/>
      <x:c r="D71" s="25"/>
      <x:c r="E71" s="25"/>
      <x:c r="F71" s="25"/>
      <x:c r="G71" s="28"/>
      <x:c r="H71" s="25"/>
      <x:c r="I71" s="25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5"/>
      <x:c r="B72" s="25"/>
      <x:c r="C72" s="25"/>
      <x:c r="D72" s="25"/>
      <x:c r="E72" s="25"/>
      <x:c r="F72" s="25"/>
      <x:c r="G72" s="28"/>
      <x:c r="H72" s="25"/>
      <x:c r="I72" s="25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5"/>
      <x:c r="B73" s="25"/>
      <x:c r="C73" s="25"/>
      <x:c r="D73" s="25"/>
      <x:c r="E73" s="25"/>
      <x:c r="F73" s="25"/>
      <x:c r="G73" s="28"/>
      <x:c r="H73" s="25"/>
      <x:c r="I73" s="25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5"/>
      <x:c r="B74" s="25"/>
      <x:c r="C74" s="25"/>
      <x:c r="D74" s="25"/>
      <x:c r="E74" s="25"/>
      <x:c r="F74" s="25"/>
      <x:c r="G74" s="28"/>
      <x:c r="H74" s="25"/>
      <x:c r="I74" s="25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5"/>
      <x:c r="B75" s="25"/>
      <x:c r="C75" s="25"/>
      <x:c r="D75" s="25"/>
      <x:c r="E75" s="25"/>
      <x:c r="F75" s="25"/>
      <x:c r="G75" s="28"/>
      <x:c r="H75" s="25"/>
      <x:c r="I75" s="25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5"/>
      <x:c r="B76" s="25"/>
      <x:c r="C76" s="25"/>
      <x:c r="D76" s="25"/>
      <x:c r="E76" s="25"/>
      <x:c r="F76" s="25"/>
      <x:c r="G76" s="28"/>
      <x:c r="H76" s="25"/>
      <x:c r="I76" s="25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5"/>
      <x:c r="B77" s="25"/>
      <x:c r="C77" s="25"/>
      <x:c r="D77" s="25"/>
      <x:c r="E77" s="25"/>
      <x:c r="F77" s="25"/>
      <x:c r="G77" s="28"/>
      <x:c r="H77" s="25"/>
      <x:c r="I77" s="25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5"/>
      <x:c r="B78" s="25"/>
      <x:c r="C78" s="25"/>
      <x:c r="D78" s="25"/>
      <x:c r="E78" s="25"/>
      <x:c r="F78" s="25"/>
      <x:c r="G78" s="28"/>
      <x:c r="H78" s="25"/>
      <x:c r="I78" s="25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5"/>
      <x:c r="B79" s="25"/>
      <x:c r="C79" s="25"/>
      <x:c r="D79" s="25"/>
      <x:c r="E79" s="25"/>
      <x:c r="F79" s="25"/>
      <x:c r="G79" s="28"/>
      <x:c r="H79" s="25"/>
      <x:c r="I79" s="25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5"/>
      <x:c r="B80" s="25"/>
      <x:c r="C80" s="25"/>
      <x:c r="D80" s="25"/>
      <x:c r="E80" s="25"/>
      <x:c r="F80" s="25"/>
      <x:c r="G80" s="28"/>
      <x:c r="H80" s="25"/>
      <x:c r="I80" s="25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5"/>
      <x:c r="B81" s="25"/>
      <x:c r="C81" s="25"/>
      <x:c r="D81" s="25"/>
      <x:c r="E81" s="25"/>
      <x:c r="F81" s="25"/>
      <x:c r="G81" s="28"/>
      <x:c r="H81" s="25"/>
      <x:c r="I81" s="25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5"/>
      <x:c r="B82" s="25"/>
      <x:c r="C82" s="25"/>
      <x:c r="D82" s="25"/>
      <x:c r="E82" s="25"/>
      <x:c r="F82" s="25"/>
      <x:c r="G82" s="28"/>
      <x:c r="H82" s="25"/>
      <x:c r="I82" s="25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5"/>
      <x:c r="B83" s="25"/>
      <x:c r="C83" s="25"/>
      <x:c r="D83" s="25"/>
      <x:c r="E83" s="25"/>
      <x:c r="F83" s="25"/>
      <x:c r="G83" s="28"/>
      <x:c r="H83" s="25"/>
      <x:c r="I83" s="25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5"/>
      <x:c r="B84" s="25"/>
      <x:c r="C84" s="25"/>
      <x:c r="D84" s="25"/>
      <x:c r="E84" s="25"/>
      <x:c r="F84" s="25"/>
      <x:c r="G84" s="28"/>
      <x:c r="H84" s="25"/>
      <x:c r="I84" s="25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5"/>
      <x:c r="B85" s="25"/>
      <x:c r="C85" s="25"/>
      <x:c r="D85" s="25"/>
      <x:c r="E85" s="25"/>
      <x:c r="F85" s="25"/>
      <x:c r="G85" s="28"/>
      <x:c r="H85" s="25"/>
      <x:c r="I85" s="25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5"/>
      <x:c r="B86" s="25"/>
      <x:c r="C86" s="25"/>
      <x:c r="D86" s="25"/>
      <x:c r="E86" s="25"/>
      <x:c r="F86" s="25"/>
      <x:c r="G86" s="28"/>
      <x:c r="H86" s="25"/>
      <x:c r="I86" s="25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5"/>
      <x:c r="B87" s="25"/>
      <x:c r="C87" s="25"/>
      <x:c r="D87" s="25"/>
      <x:c r="E87" s="25"/>
      <x:c r="F87" s="25"/>
      <x:c r="G87" s="28"/>
      <x:c r="H87" s="25"/>
      <x:c r="I87" s="25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5"/>
      <x:c r="B88" s="25"/>
      <x:c r="C88" s="25"/>
      <x:c r="D88" s="25"/>
      <x:c r="E88" s="25"/>
      <x:c r="F88" s="25"/>
      <x:c r="G88" s="28"/>
      <x:c r="H88" s="25"/>
      <x:c r="I88" s="25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5"/>
      <x:c r="B89" s="25"/>
      <x:c r="C89" s="25"/>
      <x:c r="D89" s="25"/>
      <x:c r="E89" s="25"/>
      <x:c r="F89" s="25"/>
      <x:c r="G89" s="28"/>
      <x:c r="H89" s="25"/>
      <x:c r="I89" s="25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5"/>
      <x:c r="B90" s="25"/>
      <x:c r="C90" s="25"/>
      <x:c r="D90" s="25"/>
      <x:c r="E90" s="25"/>
      <x:c r="F90" s="25"/>
      <x:c r="G90" s="28"/>
      <x:c r="H90" s="25"/>
      <x:c r="I90" s="25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5"/>
      <x:c r="B91" s="25"/>
      <x:c r="C91" s="25"/>
      <x:c r="D91" s="25"/>
      <x:c r="E91" s="25"/>
      <x:c r="F91" s="25"/>
      <x:c r="G91" s="28"/>
      <x:c r="H91" s="25"/>
      <x:c r="I91" s="25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5"/>
      <x:c r="B92" s="25"/>
      <x:c r="C92" s="25"/>
      <x:c r="D92" s="25"/>
      <x:c r="E92" s="25"/>
      <x:c r="F92" s="25"/>
      <x:c r="G92" s="28"/>
      <x:c r="H92" s="25"/>
      <x:c r="I92" s="25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5"/>
      <x:c r="B93" s="25"/>
      <x:c r="C93" s="25"/>
      <x:c r="D93" s="25"/>
      <x:c r="E93" s="25"/>
      <x:c r="F93" s="25"/>
      <x:c r="G93" s="28"/>
      <x:c r="H93" s="25"/>
      <x:c r="I93" s="25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5"/>
      <x:c r="B94" s="25"/>
      <x:c r="C94" s="25"/>
      <x:c r="D94" s="25"/>
      <x:c r="E94" s="25"/>
      <x:c r="F94" s="25"/>
      <x:c r="G94" s="28"/>
      <x:c r="H94" s="25"/>
      <x:c r="I94" s="25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5"/>
      <x:c r="B95" s="25"/>
      <x:c r="C95" s="25"/>
      <x:c r="D95" s="25"/>
      <x:c r="E95" s="25"/>
      <x:c r="F95" s="25"/>
      <x:c r="G95" s="28"/>
      <x:c r="H95" s="25"/>
      <x:c r="I95" s="25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5"/>
      <x:c r="B96" s="25"/>
      <x:c r="C96" s="25"/>
      <x:c r="D96" s="25"/>
      <x:c r="E96" s="25"/>
      <x:c r="F96" s="25"/>
      <x:c r="G96" s="28"/>
      <x:c r="H96" s="25"/>
      <x:c r="I96" s="25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5"/>
      <x:c r="B97" s="25"/>
      <x:c r="C97" s="25"/>
      <x:c r="D97" s="25"/>
      <x:c r="E97" s="25"/>
      <x:c r="F97" s="25"/>
      <x:c r="G97" s="28"/>
      <x:c r="H97" s="25"/>
      <x:c r="I97" s="25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5"/>
      <x:c r="B98" s="25"/>
      <x:c r="C98" s="25"/>
      <x:c r="D98" s="25"/>
      <x:c r="E98" s="25"/>
      <x:c r="F98" s="25"/>
      <x:c r="G98" s="28"/>
      <x:c r="H98" s="25"/>
      <x:c r="I98" s="25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5"/>
      <x:c r="B99" s="25"/>
      <x:c r="C99" s="25"/>
      <x:c r="D99" s="25"/>
      <x:c r="E99" s="25"/>
      <x:c r="F99" s="25"/>
      <x:c r="G99" s="28"/>
      <x:c r="H99" s="25"/>
      <x:c r="I99" s="25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5"/>
      <x:c r="B100" s="25"/>
      <x:c r="C100" s="25"/>
      <x:c r="D100" s="25"/>
      <x:c r="E100" s="25"/>
      <x:c r="F100" s="25"/>
      <x:c r="G100" s="28"/>
      <x:c r="H100" s="25"/>
      <x:c r="I100" s="25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5"/>
      <x:c r="B101" s="25"/>
      <x:c r="C101" s="25"/>
      <x:c r="D101" s="25"/>
      <x:c r="E101" s="25"/>
      <x:c r="F101" s="25"/>
      <x:c r="G101" s="28"/>
      <x:c r="H101" s="25"/>
      <x:c r="I101" s="25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5"/>
      <x:c r="B102" s="25"/>
      <x:c r="C102" s="25"/>
      <x:c r="D102" s="25"/>
      <x:c r="E102" s="25"/>
      <x:c r="F102" s="25"/>
      <x:c r="G102" s="28"/>
      <x:c r="H102" s="25"/>
      <x:c r="I102" s="25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I1"/>
  </x:mergeCells>
  <x:conditionalFormatting sqref="B3:B102">
    <x:cfRule type="colorScale" priority="1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dataValidations count="1">
    <x:dataValidation type="list" sqref="E3:E102">
      <x:formula1>"Not Started,Draft,In Progress,Ready,Published,Blocked,Deprecated"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6a0cc1b3c449a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2" hidden="0" customWidth="1"/>
    <x:col min="5" max="5" width="16" hidden="0" customWidth="1"/>
    <x:col min="6" max="6" width="14" hidden="0" customWidth="1"/>
    <x:col min="7" max="7" width="30" hidden="0" customWidth="1"/>
    <x:col min="8" max="8" width="28" hidden="0" customWidth="1"/>
    <x:col min="9" max="9" width="40" hidden="0" customWidth="1"/>
  </x:cols>
  <x:sheetData>
    <x:row r="1" ht="28" customHeight="1">
      <x:c r="A1" s="20" t="str">
        <x:v>Content Assets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4" t="str">
        <x:v>Asset</x:v>
      </x:c>
      <x:c r="B2" s="24" t="str">
        <x:v>Type</x:v>
      </x:c>
      <x:c r="C2" s="24" t="str">
        <x:v>Status</x:v>
      </x:c>
      <x:c r="D2" s="24" t="str">
        <x:v>Priority</x:v>
      </x:c>
      <x:c r="E2" s="24" t="str">
        <x:v>Owner</x:v>
      </x:c>
      <x:c r="F2" s="24" t="str">
        <x:v>Due Date</x:v>
      </x:c>
      <x:c r="G2" s="24" t="str">
        <x:v>URL</x:v>
      </x:c>
      <x:c r="H2" s="24" t="str">
        <x:v>Dependency</x:v>
      </x:c>
      <x:c r="I2" s="24" t="str">
        <x:v>Notes</x:v>
      </x:c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5" t="str">
        <x:v>TwinSight case study</x:v>
      </x:c>
      <x:c r="B3" s="25" t="str">
        <x:v>Portfolio</x:v>
      </x:c>
      <x:c r="C3" s="25" t="str">
        <x:v>Draft</x:v>
      </x:c>
      <x:c r="D3" s="25" t="str">
        <x:v>A</x:v>
      </x:c>
      <x:c r="E3" s="25" t="str">
        <x:v>Alexander</x:v>
      </x:c>
      <x:c r="F3" s="28" t="n">
        <x:v>46188.85428778935</x:v>
      </x:c>
      <x:c r="G3" s="25" t="str"/>
      <x:c r="H3" s="25" t="str">
        <x:v>Screenshots + metrics</x:v>
      </x:c>
      <x:c r="I3" s="25" t="str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5" t="str">
        <x:v>TwinSight 90s demo</x:v>
      </x:c>
      <x:c r="B4" s="25" t="str">
        <x:v>Video</x:v>
      </x:c>
      <x:c r="C4" s="25" t="str">
        <x:v>Not Started</x:v>
      </x:c>
      <x:c r="D4" s="25" t="str">
        <x:v>A</x:v>
      </x:c>
      <x:c r="E4" s="25" t="str">
        <x:v>Alexander</x:v>
      </x:c>
      <x:c r="F4" s="28" t="n">
        <x:v>46195.85428778935</x:v>
      </x:c>
      <x:c r="G4" s="25" t="str"/>
      <x:c r="H4" s="25" t="str">
        <x:v>Final build capture</x:v>
      </x:c>
      <x:c r="I4" s="25" t="str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5" t="str">
        <x:v>Base CV</x:v>
      </x:c>
      <x:c r="B5" s="25" t="str">
        <x:v>CV</x:v>
      </x:c>
      <x:c r="C5" s="25" t="str">
        <x:v>Draft</x:v>
      </x:c>
      <x:c r="D5" s="25" t="str">
        <x:v>A</x:v>
      </x:c>
      <x:c r="E5" s="25" t="str">
        <x:v>Alexander</x:v>
      </x:c>
      <x:c r="F5" s="28" t="n">
        <x:v>46186.85428778935</x:v>
      </x:c>
      <x:c r="G5" s="25" t="str"/>
      <x:c r="H5" s="25" t="str">
        <x:v>Confirm contact info</x:v>
      </x:c>
      <x:c r="I5" s="25" t="str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5" t="str">
        <x:v>LinkedIn rewrite</x:v>
      </x:c>
      <x:c r="B6" s="25" t="str">
        <x:v>Profile</x:v>
      </x:c>
      <x:c r="C6" s="25" t="str">
        <x:v>Draft</x:v>
      </x:c>
      <x:c r="D6" s="25" t="str">
        <x:v>A</x:v>
      </x:c>
      <x:c r="E6" s="25" t="str">
        <x:v>Alexander</x:v>
      </x:c>
      <x:c r="F6" s="28" t="n">
        <x:v>46186.85428778935</x:v>
      </x:c>
      <x:c r="G6" s="25" t="str"/>
      <x:c r="H6" s="25" t="str">
        <x:v>Confirm metrics</x:v>
      </x:c>
      <x:c r="I6" s="25" t="str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5" t="str">
        <x:v>GitHub README</x:v>
      </x:c>
      <x:c r="B7" s="25" t="str">
        <x:v>GitHub</x:v>
      </x:c>
      <x:c r="C7" s="25" t="str">
        <x:v>Draft</x:v>
      </x:c>
      <x:c r="D7" s="25" t="str">
        <x:v>A</x:v>
      </x:c>
      <x:c r="E7" s="25" t="str">
        <x:v>Alexander</x:v>
      </x:c>
      <x:c r="F7" s="28" t="n">
        <x:v>46191.85428778935</x:v>
      </x:c>
      <x:c r="G7" s="25" t="str"/>
      <x:c r="H7" s="25" t="str">
        <x:v>Repo cleanup</x:v>
      </x:c>
      <x:c r="I7" s="25" t="str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5"/>
      <x:c r="B8" s="25"/>
      <x:c r="C8" s="25"/>
      <x:c r="D8" s="25"/>
      <x:c r="E8" s="25"/>
      <x:c r="F8" s="28"/>
      <x:c r="G8" s="25"/>
      <x:c r="H8" s="25"/>
      <x:c r="I8" s="25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5"/>
      <x:c r="B9" s="25"/>
      <x:c r="C9" s="25"/>
      <x:c r="D9" s="25"/>
      <x:c r="E9" s="25"/>
      <x:c r="F9" s="28"/>
      <x:c r="G9" s="25"/>
      <x:c r="H9" s="25"/>
      <x:c r="I9" s="25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5"/>
      <x:c r="B10" s="25"/>
      <x:c r="C10" s="25"/>
      <x:c r="D10" s="25"/>
      <x:c r="E10" s="25"/>
      <x:c r="F10" s="28"/>
      <x:c r="G10" s="25"/>
      <x:c r="H10" s="25"/>
      <x:c r="I10" s="25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5"/>
      <x:c r="B11" s="25"/>
      <x:c r="C11" s="25"/>
      <x:c r="D11" s="25"/>
      <x:c r="E11" s="25"/>
      <x:c r="F11" s="28"/>
      <x:c r="G11" s="25"/>
      <x:c r="H11" s="25"/>
      <x:c r="I11" s="25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5"/>
      <x:c r="B12" s="25"/>
      <x:c r="C12" s="25"/>
      <x:c r="D12" s="25"/>
      <x:c r="E12" s="25"/>
      <x:c r="F12" s="28"/>
      <x:c r="G12" s="25"/>
      <x:c r="H12" s="25"/>
      <x:c r="I12" s="25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5"/>
      <x:c r="B13" s="25"/>
      <x:c r="C13" s="25"/>
      <x:c r="D13" s="25"/>
      <x:c r="E13" s="25"/>
      <x:c r="F13" s="28"/>
      <x:c r="G13" s="25"/>
      <x:c r="H13" s="25"/>
      <x:c r="I13" s="25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5"/>
      <x:c r="B14" s="25"/>
      <x:c r="C14" s="25"/>
      <x:c r="D14" s="25"/>
      <x:c r="E14" s="25"/>
      <x:c r="F14" s="28"/>
      <x:c r="G14" s="25"/>
      <x:c r="H14" s="25"/>
      <x:c r="I14" s="25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5"/>
      <x:c r="B15" s="25"/>
      <x:c r="C15" s="25"/>
      <x:c r="D15" s="25"/>
      <x:c r="E15" s="25"/>
      <x:c r="F15" s="28"/>
      <x:c r="G15" s="25"/>
      <x:c r="H15" s="25"/>
      <x:c r="I15" s="25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5"/>
      <x:c r="B16" s="25"/>
      <x:c r="C16" s="25"/>
      <x:c r="D16" s="25"/>
      <x:c r="E16" s="25"/>
      <x:c r="F16" s="28"/>
      <x:c r="G16" s="25"/>
      <x:c r="H16" s="25"/>
      <x:c r="I16" s="25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5"/>
      <x:c r="B17" s="25"/>
      <x:c r="C17" s="25"/>
      <x:c r="D17" s="25"/>
      <x:c r="E17" s="25"/>
      <x:c r="F17" s="28"/>
      <x:c r="G17" s="25"/>
      <x:c r="H17" s="25"/>
      <x:c r="I17" s="25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5"/>
      <x:c r="B18" s="25"/>
      <x:c r="C18" s="25"/>
      <x:c r="D18" s="25"/>
      <x:c r="E18" s="25"/>
      <x:c r="F18" s="28"/>
      <x:c r="G18" s="25"/>
      <x:c r="H18" s="25"/>
      <x:c r="I18" s="25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5"/>
      <x:c r="B19" s="25"/>
      <x:c r="C19" s="25"/>
      <x:c r="D19" s="25"/>
      <x:c r="E19" s="25"/>
      <x:c r="F19" s="28"/>
      <x:c r="G19" s="25"/>
      <x:c r="H19" s="25"/>
      <x:c r="I19" s="25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5"/>
      <x:c r="B20" s="25"/>
      <x:c r="C20" s="25"/>
      <x:c r="D20" s="25"/>
      <x:c r="E20" s="25"/>
      <x:c r="F20" s="28"/>
      <x:c r="G20" s="25"/>
      <x:c r="H20" s="25"/>
      <x:c r="I20" s="25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5"/>
      <x:c r="B21" s="25"/>
      <x:c r="C21" s="25"/>
      <x:c r="D21" s="25"/>
      <x:c r="E21" s="25"/>
      <x:c r="F21" s="28"/>
      <x:c r="G21" s="25"/>
      <x:c r="H21" s="25"/>
      <x:c r="I21" s="25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5"/>
      <x:c r="B22" s="25"/>
      <x:c r="C22" s="25"/>
      <x:c r="D22" s="25"/>
      <x:c r="E22" s="25"/>
      <x:c r="F22" s="28"/>
      <x:c r="G22" s="25"/>
      <x:c r="H22" s="25"/>
      <x:c r="I22" s="25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5"/>
      <x:c r="B23" s="25"/>
      <x:c r="C23" s="25"/>
      <x:c r="D23" s="25"/>
      <x:c r="E23" s="25"/>
      <x:c r="F23" s="28"/>
      <x:c r="G23" s="25"/>
      <x:c r="H23" s="25"/>
      <x:c r="I23" s="25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5"/>
      <x:c r="B24" s="25"/>
      <x:c r="C24" s="25"/>
      <x:c r="D24" s="25"/>
      <x:c r="E24" s="25"/>
      <x:c r="F24" s="28"/>
      <x:c r="G24" s="25"/>
      <x:c r="H24" s="25"/>
      <x:c r="I24" s="25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5"/>
      <x:c r="B25" s="25"/>
      <x:c r="C25" s="25"/>
      <x:c r="D25" s="25"/>
      <x:c r="E25" s="25"/>
      <x:c r="F25" s="28"/>
      <x:c r="G25" s="25"/>
      <x:c r="H25" s="25"/>
      <x:c r="I25" s="25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5"/>
      <x:c r="B26" s="25"/>
      <x:c r="C26" s="25"/>
      <x:c r="D26" s="25"/>
      <x:c r="E26" s="25"/>
      <x:c r="F26" s="28"/>
      <x:c r="G26" s="25"/>
      <x:c r="H26" s="25"/>
      <x:c r="I26" s="25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5"/>
      <x:c r="B27" s="25"/>
      <x:c r="C27" s="25"/>
      <x:c r="D27" s="25"/>
      <x:c r="E27" s="25"/>
      <x:c r="F27" s="28"/>
      <x:c r="G27" s="25"/>
      <x:c r="H27" s="25"/>
      <x:c r="I27" s="25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5"/>
      <x:c r="B28" s="25"/>
      <x:c r="C28" s="25"/>
      <x:c r="D28" s="25"/>
      <x:c r="E28" s="25"/>
      <x:c r="F28" s="28"/>
      <x:c r="G28" s="25"/>
      <x:c r="H28" s="25"/>
      <x:c r="I28" s="25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5"/>
      <x:c r="B29" s="25"/>
      <x:c r="C29" s="25"/>
      <x:c r="D29" s="25"/>
      <x:c r="E29" s="25"/>
      <x:c r="F29" s="28"/>
      <x:c r="G29" s="25"/>
      <x:c r="H29" s="25"/>
      <x:c r="I29" s="25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5"/>
      <x:c r="B30" s="25"/>
      <x:c r="C30" s="25"/>
      <x:c r="D30" s="25"/>
      <x:c r="E30" s="25"/>
      <x:c r="F30" s="28"/>
      <x:c r="G30" s="25"/>
      <x:c r="H30" s="25"/>
      <x:c r="I30" s="25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5"/>
      <x:c r="B31" s="25"/>
      <x:c r="C31" s="25"/>
      <x:c r="D31" s="25"/>
      <x:c r="E31" s="25"/>
      <x:c r="F31" s="28"/>
      <x:c r="G31" s="25"/>
      <x:c r="H31" s="25"/>
      <x:c r="I31" s="25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5"/>
      <x:c r="B32" s="25"/>
      <x:c r="C32" s="25"/>
      <x:c r="D32" s="25"/>
      <x:c r="E32" s="25"/>
      <x:c r="F32" s="28"/>
      <x:c r="G32" s="25"/>
      <x:c r="H32" s="25"/>
      <x:c r="I32" s="25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5"/>
      <x:c r="B33" s="25"/>
      <x:c r="C33" s="25"/>
      <x:c r="D33" s="25"/>
      <x:c r="E33" s="25"/>
      <x:c r="F33" s="28"/>
      <x:c r="G33" s="25"/>
      <x:c r="H33" s="25"/>
      <x:c r="I33" s="25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5"/>
      <x:c r="B34" s="25"/>
      <x:c r="C34" s="25"/>
      <x:c r="D34" s="25"/>
      <x:c r="E34" s="25"/>
      <x:c r="F34" s="28"/>
      <x:c r="G34" s="25"/>
      <x:c r="H34" s="25"/>
      <x:c r="I34" s="25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5"/>
      <x:c r="B35" s="25"/>
      <x:c r="C35" s="25"/>
      <x:c r="D35" s="25"/>
      <x:c r="E35" s="25"/>
      <x:c r="F35" s="28"/>
      <x:c r="G35" s="25"/>
      <x:c r="H35" s="25"/>
      <x:c r="I35" s="25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5"/>
      <x:c r="B36" s="25"/>
      <x:c r="C36" s="25"/>
      <x:c r="D36" s="25"/>
      <x:c r="E36" s="25"/>
      <x:c r="F36" s="28"/>
      <x:c r="G36" s="25"/>
      <x:c r="H36" s="25"/>
      <x:c r="I36" s="25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5"/>
      <x:c r="B37" s="25"/>
      <x:c r="C37" s="25"/>
      <x:c r="D37" s="25"/>
      <x:c r="E37" s="25"/>
      <x:c r="F37" s="28"/>
      <x:c r="G37" s="25"/>
      <x:c r="H37" s="25"/>
      <x:c r="I37" s="25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5"/>
      <x:c r="B38" s="25"/>
      <x:c r="C38" s="25"/>
      <x:c r="D38" s="25"/>
      <x:c r="E38" s="25"/>
      <x:c r="F38" s="28"/>
      <x:c r="G38" s="25"/>
      <x:c r="H38" s="25"/>
      <x:c r="I38" s="25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5"/>
      <x:c r="B39" s="25"/>
      <x:c r="C39" s="25"/>
      <x:c r="D39" s="25"/>
      <x:c r="E39" s="25"/>
      <x:c r="F39" s="28"/>
      <x:c r="G39" s="25"/>
      <x:c r="H39" s="25"/>
      <x:c r="I39" s="25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5"/>
      <x:c r="B40" s="25"/>
      <x:c r="C40" s="25"/>
      <x:c r="D40" s="25"/>
      <x:c r="E40" s="25"/>
      <x:c r="F40" s="28"/>
      <x:c r="G40" s="25"/>
      <x:c r="H40" s="25"/>
      <x:c r="I40" s="25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5"/>
      <x:c r="B41" s="25"/>
      <x:c r="C41" s="25"/>
      <x:c r="D41" s="25"/>
      <x:c r="E41" s="25"/>
      <x:c r="F41" s="28"/>
      <x:c r="G41" s="25"/>
      <x:c r="H41" s="25"/>
      <x:c r="I41" s="25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5"/>
      <x:c r="B42" s="25"/>
      <x:c r="C42" s="25"/>
      <x:c r="D42" s="25"/>
      <x:c r="E42" s="25"/>
      <x:c r="F42" s="28"/>
      <x:c r="G42" s="25"/>
      <x:c r="H42" s="25"/>
      <x:c r="I42" s="25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5"/>
      <x:c r="B43" s="25"/>
      <x:c r="C43" s="25"/>
      <x:c r="D43" s="25"/>
      <x:c r="E43" s="25"/>
      <x:c r="F43" s="28"/>
      <x:c r="G43" s="25"/>
      <x:c r="H43" s="25"/>
      <x:c r="I43" s="25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5"/>
      <x:c r="B44" s="25"/>
      <x:c r="C44" s="25"/>
      <x:c r="D44" s="25"/>
      <x:c r="E44" s="25"/>
      <x:c r="F44" s="28"/>
      <x:c r="G44" s="25"/>
      <x:c r="H44" s="25"/>
      <x:c r="I44" s="25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5"/>
      <x:c r="B45" s="25"/>
      <x:c r="C45" s="25"/>
      <x:c r="D45" s="25"/>
      <x:c r="E45" s="25"/>
      <x:c r="F45" s="28"/>
      <x:c r="G45" s="25"/>
      <x:c r="H45" s="25"/>
      <x:c r="I45" s="25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5"/>
      <x:c r="B46" s="25"/>
      <x:c r="C46" s="25"/>
      <x:c r="D46" s="25"/>
      <x:c r="E46" s="25"/>
      <x:c r="F46" s="28"/>
      <x:c r="G46" s="25"/>
      <x:c r="H46" s="25"/>
      <x:c r="I46" s="25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5"/>
      <x:c r="B47" s="25"/>
      <x:c r="C47" s="25"/>
      <x:c r="D47" s="25"/>
      <x:c r="E47" s="25"/>
      <x:c r="F47" s="28"/>
      <x:c r="G47" s="25"/>
      <x:c r="H47" s="25"/>
      <x:c r="I47" s="25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5"/>
      <x:c r="B48" s="25"/>
      <x:c r="C48" s="25"/>
      <x:c r="D48" s="25"/>
      <x:c r="E48" s="25"/>
      <x:c r="F48" s="28"/>
      <x:c r="G48" s="25"/>
      <x:c r="H48" s="25"/>
      <x:c r="I48" s="25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5"/>
      <x:c r="B49" s="25"/>
      <x:c r="C49" s="25"/>
      <x:c r="D49" s="25"/>
      <x:c r="E49" s="25"/>
      <x:c r="F49" s="28"/>
      <x:c r="G49" s="25"/>
      <x:c r="H49" s="25"/>
      <x:c r="I49" s="25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5"/>
      <x:c r="B50" s="25"/>
      <x:c r="C50" s="25"/>
      <x:c r="D50" s="25"/>
      <x:c r="E50" s="25"/>
      <x:c r="F50" s="28"/>
      <x:c r="G50" s="25"/>
      <x:c r="H50" s="25"/>
      <x:c r="I50" s="25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5"/>
      <x:c r="B51" s="25"/>
      <x:c r="C51" s="25"/>
      <x:c r="D51" s="25"/>
      <x:c r="E51" s="25"/>
      <x:c r="F51" s="28"/>
      <x:c r="G51" s="25"/>
      <x:c r="H51" s="25"/>
      <x:c r="I51" s="25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5"/>
      <x:c r="B52" s="25"/>
      <x:c r="C52" s="25"/>
      <x:c r="D52" s="25"/>
      <x:c r="E52" s="25"/>
      <x:c r="F52" s="28"/>
      <x:c r="G52" s="25"/>
      <x:c r="H52" s="25"/>
      <x:c r="I52" s="25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5"/>
      <x:c r="B53" s="25"/>
      <x:c r="C53" s="25"/>
      <x:c r="D53" s="25"/>
      <x:c r="E53" s="25"/>
      <x:c r="F53" s="28"/>
      <x:c r="G53" s="25"/>
      <x:c r="H53" s="25"/>
      <x:c r="I53" s="25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5"/>
      <x:c r="B54" s="25"/>
      <x:c r="C54" s="25"/>
      <x:c r="D54" s="25"/>
      <x:c r="E54" s="25"/>
      <x:c r="F54" s="28"/>
      <x:c r="G54" s="25"/>
      <x:c r="H54" s="25"/>
      <x:c r="I54" s="25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5"/>
      <x:c r="B55" s="25"/>
      <x:c r="C55" s="25"/>
      <x:c r="D55" s="25"/>
      <x:c r="E55" s="25"/>
      <x:c r="F55" s="28"/>
      <x:c r="G55" s="25"/>
      <x:c r="H55" s="25"/>
      <x:c r="I55" s="25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5"/>
      <x:c r="B56" s="25"/>
      <x:c r="C56" s="25"/>
      <x:c r="D56" s="25"/>
      <x:c r="E56" s="25"/>
      <x:c r="F56" s="28"/>
      <x:c r="G56" s="25"/>
      <x:c r="H56" s="25"/>
      <x:c r="I56" s="25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5"/>
      <x:c r="B57" s="25"/>
      <x:c r="C57" s="25"/>
      <x:c r="D57" s="25"/>
      <x:c r="E57" s="25"/>
      <x:c r="F57" s="28"/>
      <x:c r="G57" s="25"/>
      <x:c r="H57" s="25"/>
      <x:c r="I57" s="25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5"/>
      <x:c r="B58" s="25"/>
      <x:c r="C58" s="25"/>
      <x:c r="D58" s="25"/>
      <x:c r="E58" s="25"/>
      <x:c r="F58" s="28"/>
      <x:c r="G58" s="25"/>
      <x:c r="H58" s="25"/>
      <x:c r="I58" s="25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5"/>
      <x:c r="B59" s="25"/>
      <x:c r="C59" s="25"/>
      <x:c r="D59" s="25"/>
      <x:c r="E59" s="25"/>
      <x:c r="F59" s="28"/>
      <x:c r="G59" s="25"/>
      <x:c r="H59" s="25"/>
      <x:c r="I59" s="25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5"/>
      <x:c r="B60" s="25"/>
      <x:c r="C60" s="25"/>
      <x:c r="D60" s="25"/>
      <x:c r="E60" s="25"/>
      <x:c r="F60" s="28"/>
      <x:c r="G60" s="25"/>
      <x:c r="H60" s="25"/>
      <x:c r="I60" s="25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5"/>
      <x:c r="B61" s="25"/>
      <x:c r="C61" s="25"/>
      <x:c r="D61" s="25"/>
      <x:c r="E61" s="25"/>
      <x:c r="F61" s="28"/>
      <x:c r="G61" s="25"/>
      <x:c r="H61" s="25"/>
      <x:c r="I61" s="25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5"/>
      <x:c r="B62" s="25"/>
      <x:c r="C62" s="25"/>
      <x:c r="D62" s="25"/>
      <x:c r="E62" s="25"/>
      <x:c r="F62" s="28"/>
      <x:c r="G62" s="25"/>
      <x:c r="H62" s="25"/>
      <x:c r="I62" s="25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5"/>
      <x:c r="B63" s="25"/>
      <x:c r="C63" s="25"/>
      <x:c r="D63" s="25"/>
      <x:c r="E63" s="25"/>
      <x:c r="F63" s="28"/>
      <x:c r="G63" s="25"/>
      <x:c r="H63" s="25"/>
      <x:c r="I63" s="25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5"/>
      <x:c r="B64" s="25"/>
      <x:c r="C64" s="25"/>
      <x:c r="D64" s="25"/>
      <x:c r="E64" s="25"/>
      <x:c r="F64" s="28"/>
      <x:c r="G64" s="25"/>
      <x:c r="H64" s="25"/>
      <x:c r="I64" s="25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5"/>
      <x:c r="B65" s="25"/>
      <x:c r="C65" s="25"/>
      <x:c r="D65" s="25"/>
      <x:c r="E65" s="25"/>
      <x:c r="F65" s="28"/>
      <x:c r="G65" s="25"/>
      <x:c r="H65" s="25"/>
      <x:c r="I65" s="25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5"/>
      <x:c r="B66" s="25"/>
      <x:c r="C66" s="25"/>
      <x:c r="D66" s="25"/>
      <x:c r="E66" s="25"/>
      <x:c r="F66" s="28"/>
      <x:c r="G66" s="25"/>
      <x:c r="H66" s="25"/>
      <x:c r="I66" s="25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5"/>
      <x:c r="B67" s="25"/>
      <x:c r="C67" s="25"/>
      <x:c r="D67" s="25"/>
      <x:c r="E67" s="25"/>
      <x:c r="F67" s="28"/>
      <x:c r="G67" s="25"/>
      <x:c r="H67" s="25"/>
      <x:c r="I67" s="25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5"/>
      <x:c r="B68" s="25"/>
      <x:c r="C68" s="25"/>
      <x:c r="D68" s="25"/>
      <x:c r="E68" s="25"/>
      <x:c r="F68" s="28"/>
      <x:c r="G68" s="25"/>
      <x:c r="H68" s="25"/>
      <x:c r="I68" s="25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5"/>
      <x:c r="B69" s="25"/>
      <x:c r="C69" s="25"/>
      <x:c r="D69" s="25"/>
      <x:c r="E69" s="25"/>
      <x:c r="F69" s="28"/>
      <x:c r="G69" s="25"/>
      <x:c r="H69" s="25"/>
      <x:c r="I69" s="25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5"/>
      <x:c r="B70" s="25"/>
      <x:c r="C70" s="25"/>
      <x:c r="D70" s="25"/>
      <x:c r="E70" s="25"/>
      <x:c r="F70" s="28"/>
      <x:c r="G70" s="25"/>
      <x:c r="H70" s="25"/>
      <x:c r="I70" s="25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5"/>
      <x:c r="B71" s="25"/>
      <x:c r="C71" s="25"/>
      <x:c r="D71" s="25"/>
      <x:c r="E71" s="25"/>
      <x:c r="F71" s="28"/>
      <x:c r="G71" s="25"/>
      <x:c r="H71" s="25"/>
      <x:c r="I71" s="25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5"/>
      <x:c r="B72" s="25"/>
      <x:c r="C72" s="25"/>
      <x:c r="D72" s="25"/>
      <x:c r="E72" s="25"/>
      <x:c r="F72" s="28"/>
      <x:c r="G72" s="25"/>
      <x:c r="H72" s="25"/>
      <x:c r="I72" s="25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5"/>
      <x:c r="B73" s="25"/>
      <x:c r="C73" s="25"/>
      <x:c r="D73" s="25"/>
      <x:c r="E73" s="25"/>
      <x:c r="F73" s="28"/>
      <x:c r="G73" s="25"/>
      <x:c r="H73" s="25"/>
      <x:c r="I73" s="25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5"/>
      <x:c r="B74" s="25"/>
      <x:c r="C74" s="25"/>
      <x:c r="D74" s="25"/>
      <x:c r="E74" s="25"/>
      <x:c r="F74" s="28"/>
      <x:c r="G74" s="25"/>
      <x:c r="H74" s="25"/>
      <x:c r="I74" s="25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5"/>
      <x:c r="B75" s="25"/>
      <x:c r="C75" s="25"/>
      <x:c r="D75" s="25"/>
      <x:c r="E75" s="25"/>
      <x:c r="F75" s="28"/>
      <x:c r="G75" s="25"/>
      <x:c r="H75" s="25"/>
      <x:c r="I75" s="25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5"/>
      <x:c r="B76" s="25"/>
      <x:c r="C76" s="25"/>
      <x:c r="D76" s="25"/>
      <x:c r="E76" s="25"/>
      <x:c r="F76" s="28"/>
      <x:c r="G76" s="25"/>
      <x:c r="H76" s="25"/>
      <x:c r="I76" s="25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5"/>
      <x:c r="B77" s="25"/>
      <x:c r="C77" s="25"/>
      <x:c r="D77" s="25"/>
      <x:c r="E77" s="25"/>
      <x:c r="F77" s="28"/>
      <x:c r="G77" s="25"/>
      <x:c r="H77" s="25"/>
      <x:c r="I77" s="25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5"/>
      <x:c r="B78" s="25"/>
      <x:c r="C78" s="25"/>
      <x:c r="D78" s="25"/>
      <x:c r="E78" s="25"/>
      <x:c r="F78" s="28"/>
      <x:c r="G78" s="25"/>
      <x:c r="H78" s="25"/>
      <x:c r="I78" s="25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5"/>
      <x:c r="B79" s="25"/>
      <x:c r="C79" s="25"/>
      <x:c r="D79" s="25"/>
      <x:c r="E79" s="25"/>
      <x:c r="F79" s="28"/>
      <x:c r="G79" s="25"/>
      <x:c r="H79" s="25"/>
      <x:c r="I79" s="25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5"/>
      <x:c r="B80" s="25"/>
      <x:c r="C80" s="25"/>
      <x:c r="D80" s="25"/>
      <x:c r="E80" s="25"/>
      <x:c r="F80" s="28"/>
      <x:c r="G80" s="25"/>
      <x:c r="H80" s="25"/>
      <x:c r="I80" s="25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5"/>
      <x:c r="B81" s="25"/>
      <x:c r="C81" s="25"/>
      <x:c r="D81" s="25"/>
      <x:c r="E81" s="25"/>
      <x:c r="F81" s="28"/>
      <x:c r="G81" s="25"/>
      <x:c r="H81" s="25"/>
      <x:c r="I81" s="25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5"/>
      <x:c r="B82" s="25"/>
      <x:c r="C82" s="25"/>
      <x:c r="D82" s="25"/>
      <x:c r="E82" s="25"/>
      <x:c r="F82" s="28"/>
      <x:c r="G82" s="25"/>
      <x:c r="H82" s="25"/>
      <x:c r="I82" s="25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5"/>
      <x:c r="B83" s="25"/>
      <x:c r="C83" s="25"/>
      <x:c r="D83" s="25"/>
      <x:c r="E83" s="25"/>
      <x:c r="F83" s="28"/>
      <x:c r="G83" s="25"/>
      <x:c r="H83" s="25"/>
      <x:c r="I83" s="25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5"/>
      <x:c r="B84" s="25"/>
      <x:c r="C84" s="25"/>
      <x:c r="D84" s="25"/>
      <x:c r="E84" s="25"/>
      <x:c r="F84" s="28"/>
      <x:c r="G84" s="25"/>
      <x:c r="H84" s="25"/>
      <x:c r="I84" s="25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5"/>
      <x:c r="B85" s="25"/>
      <x:c r="C85" s="25"/>
      <x:c r="D85" s="25"/>
      <x:c r="E85" s="25"/>
      <x:c r="F85" s="28"/>
      <x:c r="G85" s="25"/>
      <x:c r="H85" s="25"/>
      <x:c r="I85" s="25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5"/>
      <x:c r="B86" s="25"/>
      <x:c r="C86" s="25"/>
      <x:c r="D86" s="25"/>
      <x:c r="E86" s="25"/>
      <x:c r="F86" s="28"/>
      <x:c r="G86" s="25"/>
      <x:c r="H86" s="25"/>
      <x:c r="I86" s="25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5"/>
      <x:c r="B87" s="25"/>
      <x:c r="C87" s="25"/>
      <x:c r="D87" s="25"/>
      <x:c r="E87" s="25"/>
      <x:c r="F87" s="28"/>
      <x:c r="G87" s="25"/>
      <x:c r="H87" s="25"/>
      <x:c r="I87" s="25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5"/>
      <x:c r="B88" s="25"/>
      <x:c r="C88" s="25"/>
      <x:c r="D88" s="25"/>
      <x:c r="E88" s="25"/>
      <x:c r="F88" s="28"/>
      <x:c r="G88" s="25"/>
      <x:c r="H88" s="25"/>
      <x:c r="I88" s="25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5"/>
      <x:c r="B89" s="25"/>
      <x:c r="C89" s="25"/>
      <x:c r="D89" s="25"/>
      <x:c r="E89" s="25"/>
      <x:c r="F89" s="28"/>
      <x:c r="G89" s="25"/>
      <x:c r="H89" s="25"/>
      <x:c r="I89" s="25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5"/>
      <x:c r="B90" s="25"/>
      <x:c r="C90" s="25"/>
      <x:c r="D90" s="25"/>
      <x:c r="E90" s="25"/>
      <x:c r="F90" s="28"/>
      <x:c r="G90" s="25"/>
      <x:c r="H90" s="25"/>
      <x:c r="I90" s="25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5"/>
      <x:c r="B91" s="25"/>
      <x:c r="C91" s="25"/>
      <x:c r="D91" s="25"/>
      <x:c r="E91" s="25"/>
      <x:c r="F91" s="28"/>
      <x:c r="G91" s="25"/>
      <x:c r="H91" s="25"/>
      <x:c r="I91" s="25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5"/>
      <x:c r="B92" s="25"/>
      <x:c r="C92" s="25"/>
      <x:c r="D92" s="25"/>
      <x:c r="E92" s="25"/>
      <x:c r="F92" s="28"/>
      <x:c r="G92" s="25"/>
      <x:c r="H92" s="25"/>
      <x:c r="I92" s="25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5"/>
      <x:c r="B93" s="25"/>
      <x:c r="C93" s="25"/>
      <x:c r="D93" s="25"/>
      <x:c r="E93" s="25"/>
      <x:c r="F93" s="28"/>
      <x:c r="G93" s="25"/>
      <x:c r="H93" s="25"/>
      <x:c r="I93" s="25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5"/>
      <x:c r="B94" s="25"/>
      <x:c r="C94" s="25"/>
      <x:c r="D94" s="25"/>
      <x:c r="E94" s="25"/>
      <x:c r="F94" s="28"/>
      <x:c r="G94" s="25"/>
      <x:c r="H94" s="25"/>
      <x:c r="I94" s="25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5"/>
      <x:c r="B95" s="25"/>
      <x:c r="C95" s="25"/>
      <x:c r="D95" s="25"/>
      <x:c r="E95" s="25"/>
      <x:c r="F95" s="28"/>
      <x:c r="G95" s="25"/>
      <x:c r="H95" s="25"/>
      <x:c r="I95" s="25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5"/>
      <x:c r="B96" s="25"/>
      <x:c r="C96" s="25"/>
      <x:c r="D96" s="25"/>
      <x:c r="E96" s="25"/>
      <x:c r="F96" s="28"/>
      <x:c r="G96" s="25"/>
      <x:c r="H96" s="25"/>
      <x:c r="I96" s="25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5"/>
      <x:c r="B97" s="25"/>
      <x:c r="C97" s="25"/>
      <x:c r="D97" s="25"/>
      <x:c r="E97" s="25"/>
      <x:c r="F97" s="28"/>
      <x:c r="G97" s="25"/>
      <x:c r="H97" s="25"/>
      <x:c r="I97" s="25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5"/>
      <x:c r="B98" s="25"/>
      <x:c r="C98" s="25"/>
      <x:c r="D98" s="25"/>
      <x:c r="E98" s="25"/>
      <x:c r="F98" s="28"/>
      <x:c r="G98" s="25"/>
      <x:c r="H98" s="25"/>
      <x:c r="I98" s="25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5"/>
      <x:c r="B99" s="25"/>
      <x:c r="C99" s="25"/>
      <x:c r="D99" s="25"/>
      <x:c r="E99" s="25"/>
      <x:c r="F99" s="28"/>
      <x:c r="G99" s="25"/>
      <x:c r="H99" s="25"/>
      <x:c r="I99" s="25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5"/>
      <x:c r="B100" s="25"/>
      <x:c r="C100" s="25"/>
      <x:c r="D100" s="25"/>
      <x:c r="E100" s="25"/>
      <x:c r="F100" s="28"/>
      <x:c r="G100" s="25"/>
      <x:c r="H100" s="25"/>
      <x:c r="I100" s="25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5"/>
      <x:c r="B101" s="25"/>
      <x:c r="C101" s="25"/>
      <x:c r="D101" s="25"/>
      <x:c r="E101" s="25"/>
      <x:c r="F101" s="28"/>
      <x:c r="G101" s="25"/>
      <x:c r="H101" s="25"/>
      <x:c r="I101" s="25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5"/>
      <x:c r="B102" s="25"/>
      <x:c r="C102" s="25"/>
      <x:c r="D102" s="25"/>
      <x:c r="E102" s="25"/>
      <x:c r="F102" s="28"/>
      <x:c r="G102" s="25"/>
      <x:c r="H102" s="25"/>
      <x:c r="I102" s="25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I1"/>
  </x:mergeCells>
  <x:conditionalFormatting sqref="F3:F102">
    <x:cfRule type="expression" dxfId="8" priority="1">
      <x:formula>AND(F3&lt;&gt;"",F3&lt;TODAY(),C3&lt;&gt;"Ready",C3&lt;&gt;"Published")</x:formula>
    </x:cfRule>
  </x:conditionalFormatting>
  <x:dataValidations count="2">
    <x:dataValidation type="list" sqref="C3:C102">
      <x:formula1>"Not Started,Draft,In Progress,Ready,Published,Blocked,Deprecated"</x:formula1>
    </x:dataValidation>
    <x:dataValidation type="list" sqref="D3:D102">
      <x:formula1>"A,B,C,Watchlist,Reject"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4c5c82ca11480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20" t="str">
        <x:v>Application Tracker Settings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14" t="str">
        <x:v>Priority</x:v>
      </x:c>
      <x:c r="B3" s="14" t="str">
        <x:v>Application Status</x:v>
      </x:c>
      <x:c r="C3" s="14" t="str">
        <x:v>Role Family</x:v>
      </x:c>
      <x:c r="D3" s="14" t="str">
        <x:v>Remote Scope</x:v>
      </x:c>
      <x:c r="E3" s="14" t="str">
        <x:v>Contractor Option</x:v>
      </x:c>
      <x:c r="F3" s="14" t="str">
        <x:v>Decision</x:v>
      </x:c>
      <x:c r="G3" s="14" t="str">
        <x:v>Asset Status</x:v>
      </x:c>
      <x:c r="H3" s="21"/>
      <x:c r="I3" s="14" t="str">
        <x:v>Score</x:v>
      </x:c>
      <x:c r="J3" s="14" t="str">
        <x:v>Fit</x:v>
      </x:c>
      <x:c r="K3" s="14" t="str">
        <x:v>Probability</x:v>
      </x:c>
      <x:c r="L3" s="14" t="str">
        <x:v>Compensation</x:v>
      </x:c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A</x:v>
      </x:c>
      <x:c r="B4" s="21" t="str">
        <x:v>Not Started</x:v>
      </x:c>
      <x:c r="C4" s="21" t="str">
        <x:v>Real-Time 3D / Unity</x:v>
      </x:c>
      <x:c r="D4" s="21" t="str">
        <x:v>Worldwide</x:v>
      </x:c>
      <x:c r="E4" s="21" t="str">
        <x:v>High</x:v>
      </x:c>
      <x:c r="F4" s="21" t="str">
        <x:v>Accept</x:v>
      </x:c>
      <x:c r="G4" s="21" t="str">
        <x:v>Not Started</x:v>
      </x:c>
      <x:c r="H4" s="21"/>
      <x:c r="I4" s="21" t="n">
        <x:v>5</x:v>
      </x:c>
      <x:c r="J4" s="21" t="str">
        <x:v>Direct TwinSight match</x:v>
      </x:c>
      <x:c r="K4" s="21" t="str">
        <x:v>Realistic now</x:v>
      </x:c>
      <x:c r="L4" s="21" t="str">
        <x:v>USD 6k+/mo path</x:v>
      </x:c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B</x:v>
      </x:c>
      <x:c r="B5" s="21" t="str">
        <x:v>Applied</x:v>
      </x:c>
      <x:c r="C5" s="21" t="str">
        <x:v>Unity WebGL / Interactive 3D</x:v>
      </x:c>
      <x:c r="D5" s="21" t="str">
        <x:v>LATAM</x:v>
      </x:c>
      <x:c r="E5" s="21" t="str">
        <x:v>Medium</x:v>
      </x:c>
      <x:c r="F5" s="21" t="str">
        <x:v>Negotiate</x:v>
      </x:c>
      <x:c r="G5" s="21" t="str">
        <x:v>Draft</x:v>
      </x:c>
      <x:c r="H5" s="21"/>
      <x:c r="I5" s="21" t="n">
        <x:v>4</x:v>
      </x:c>
      <x:c r="J5" s="21" t="str">
        <x:v>Strong match</x:v>
      </x:c>
      <x:c r="K5" s="21" t="str">
        <x:v>Plausible</x:v>
      </x:c>
      <x:c r="L5" s="21" t="str">
        <x:v>USD 3k–6k/mo</x:v>
      </x:c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C</x:v>
      </x:c>
      <x:c r="B6" s="21" t="str">
        <x:v>Follow-up 1</x:v>
      </x:c>
      <x:c r="C6" s="21" t="str">
        <x:v>Technical Visualization / Digital Twin</x:v>
      </x:c>
      <x:c r="D6" s="21" t="str">
        <x:v>US-only</x:v>
      </x:c>
      <x:c r="E6" s="21" t="str">
        <x:v>Low</x:v>
      </x:c>
      <x:c r="F6" s="21" t="str">
        <x:v>Reject</x:v>
      </x:c>
      <x:c r="G6" s="21" t="str">
        <x:v>In Progress</x:v>
      </x:c>
      <x:c r="H6" s="21"/>
      <x:c r="I6" s="21" t="n">
        <x:v>3</x:v>
      </x:c>
      <x:c r="J6" s="21" t="str">
        <x:v>Adjacent</x:v>
      </x:c>
      <x:c r="K6" s="21" t="str">
        <x:v>Competitive</x:v>
      </x:c>
      <x:c r="L6" s="21" t="str">
        <x:v>USD 1.5k–3k/mo</x:v>
      </x:c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Watchlist</x:v>
      </x:c>
      <x:c r="B7" s="21" t="str">
        <x:v>Follow-up 2</x:v>
      </x:c>
      <x:c r="C7" s="21" t="str">
        <x:v>Unity Technical Artist</x:v>
      </x:c>
      <x:c r="D7" s="21" t="str">
        <x:v>EU-only</x:v>
      </x:c>
      <x:c r="E7" s="21" t="str">
        <x:v>Unknown</x:v>
      </x:c>
      <x:c r="F7" s="21" t="str">
        <x:v>Hold</x:v>
      </x:c>
      <x:c r="G7" s="21" t="str">
        <x:v>Ready</x:v>
      </x:c>
      <x:c r="H7" s="21"/>
      <x:c r="I7" s="21" t="n">
        <x:v>2</x:v>
      </x:c>
      <x:c r="J7" s="21" t="str">
        <x:v>Weak match</x:v>
      </x:c>
      <x:c r="K7" s="21" t="str">
        <x:v>Mostly senior/local-only</x:v>
      </x:c>
      <x:c r="L7" s="21" t="str">
        <x:v>Low/unclear</x:v>
      </x:c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Reject</x:v>
      </x:c>
      <x:c r="B8" s="21" t="str">
        <x:v>Screening</x:v>
      </x:c>
      <x:c r="C8" s="21" t="str">
        <x:v>XR / AR / VR</x:v>
      </x:c>
      <x:c r="D8" s="21" t="str">
        <x:v>Hybrid</x:v>
      </x:c>
      <x:c r="E8" s="21"/>
      <x:c r="F8" s="21" t="str">
        <x:v>Need Info</x:v>
      </x:c>
      <x:c r="G8" s="21" t="str">
        <x:v>Published</x:v>
      </x:c>
      <x:c r="H8" s="21"/>
      <x:c r="I8" s="21" t="n">
        <x:v>1</x:v>
      </x:c>
      <x:c r="J8" s="21" t="str">
        <x:v>Distraction</x:v>
      </x:c>
      <x:c r="K8" s="21" t="str">
        <x:v>Unrealistic now</x:v>
      </x:c>
      <x:c r="L8" s="21" t="str">
        <x:v>Below target</x:v>
      </x:c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 t="str">
        <x:v>Interview</x:v>
      </x:c>
      <x:c r="C9" s="21" t="str">
        <x:v>Tools / Pipeline</x:v>
      </x:c>
      <x:c r="D9" s="21" t="str">
        <x:v>On-site</x:v>
      </x:c>
      <x:c r="E9" s="21"/>
      <x:c r="F9" s="21"/>
      <x:c r="G9" s="21" t="str">
        <x:v>Blocked</x:v>
      </x:c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 t="str">
        <x:v>Technical Test</x:v>
      </x:c>
      <x:c r="C10" s="21" t="str">
        <x:v>Python Automation / AI Tools</x:v>
      </x:c>
      <x:c r="D10" s="21" t="str">
        <x:v>Unknown</x:v>
      </x:c>
      <x:c r="E10" s="21"/>
      <x:c r="F10" s="21"/>
      <x:c r="G10" s="21" t="str">
        <x:v>Deprecated</x:v>
      </x:c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 t="str">
        <x:v>Offer</x:v>
      </x:c>
      <x:c r="C11" s="21" t="str">
        <x:v>Full-stack Fallback</x:v>
      </x:c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14" t="str">
        <x:v>Offer Score Weights</x:v>
      </x:c>
      <x:c r="B12" s="14" t="str">
        <x:v>Weight</x:v>
      </x:c>
      <x:c r="C12" s="21" t="str"/>
      <x:c r="D12" s="14" t="str">
        <x:v>Application Score Weights</x:v>
      </x:c>
      <x:c r="E12" s="14" t="str">
        <x:v>Weight</x:v>
      </x:c>
      <x:c r="F12" s="21" t="str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 t="str">
        <x:v>Gross Compensation</x:v>
      </x:c>
      <x:c r="B13" s="21" t="n">
        <x:v>15</x:v>
      </x:c>
      <x:c r="C13" s="21"/>
      <x:c r="D13" s="21" t="str">
        <x:v>Fit</x:v>
      </x:c>
      <x:c r="E13" s="21" t="n">
        <x:v>35</x:v>
      </x:c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 t="str">
        <x:v>Estimated Net</x:v>
      </x:c>
      <x:c r="B14" s="21" t="n">
        <x:v>15</x:v>
      </x:c>
      <x:c r="C14" s="21"/>
      <x:c r="D14" s="21" t="str">
        <x:v>Probability</x:v>
      </x:c>
      <x:c r="E14" s="21" t="n">
        <x:v>20</x:v>
      </x:c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 t="str">
        <x:v>Role Fit</x:v>
      </x:c>
      <x:c r="B15" s="21" t="n">
        <x:v>20</x:v>
      </x:c>
      <x:c r="C15" s="21"/>
      <x:c r="D15" s="21" t="str">
        <x:v>Compensation</x:v>
      </x:c>
      <x:c r="E15" s="21" t="n">
        <x:v>20</x:v>
      </x:c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 t="str">
        <x:v>Portfolio Leverage</x:v>
      </x:c>
      <x:c r="B16" s="21" t="n">
        <x:v>15</x:v>
      </x:c>
      <x:c r="C16" s="21"/>
      <x:c r="D16" s="21" t="str">
        <x:v>Portfolio Fit</x:v>
      </x:c>
      <x:c r="E16" s="21" t="n">
        <x:v>25</x:v>
      </x:c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 t="str">
        <x:v>Contract Clarity</x:v>
      </x:c>
      <x:c r="B17" s="21" t="n">
        <x:v>10</x:v>
      </x:c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 t="str">
        <x:v>Payment Reliability</x:v>
      </x:c>
      <x:c r="B18" s="21" t="n">
        <x:v>10</x:v>
      </x:c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 t="str">
        <x:v>Remote Feasibility</x:v>
      </x:c>
      <x:c r="B19" s="21" t="n">
        <x:v>10</x:v>
      </x:c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 t="str">
        <x:v>Growth ROI</x:v>
      </x:c>
      <x:c r="B20" s="21" t="n">
        <x:v>5</x:v>
      </x:c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14" t="str">
        <x:v>Source URL</x:v>
      </x:c>
      <x:c r="B23" s="14" t="str">
        <x:v>Purpose</x:v>
      </x:c>
      <x:c r="C23" s="14" t="str">
        <x:v>Notes</x:v>
      </x:c>
      <x:c r="D23" s="21" t="str"/>
      <x:c r="E23" s="21" t="str"/>
      <x:c r="F23" s="21" t="str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 t="str">
        <x:v>https://github.com/delarge95</x:v>
      </x:c>
      <x:c r="B24" s="21" t="str">
        <x:v>GitHub</x:v>
      </x:c>
      <x:c r="C24" s="21" t="str">
        <x:v>Primary technical proof</x:v>
      </x:c>
      <x:c r="D24" s="21" t="str"/>
      <x:c r="E24" s="21" t="str"/>
      <x:c r="F24" s="21" t="str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 t="str">
        <x:v>https://www.linkedin.com/in/alexander-woodcock-0132382a6/</x:v>
      </x:c>
      <x:c r="B25" s="21" t="str">
        <x:v>LinkedIn</x:v>
      </x:c>
      <x:c r="C25" s="21" t="str">
        <x:v>Public profile</x:v>
      </x:c>
      <x:c r="D25" s="21" t="str"/>
      <x:c r="E25" s="21" t="str"/>
      <x:c r="F25" s="21" t="str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 t="str">
        <x:v>[portfolio URL]</x:v>
      </x:c>
      <x:c r="B26" s="21" t="str">
        <x:v>Portfolio</x:v>
      </x:c>
      <x:c r="C26" s="21" t="str">
        <x:v>Replace when live</x:v>
      </x:c>
      <x:c r="D26" s="21" t="str"/>
      <x:c r="E26" s="21" t="str"/>
      <x:c r="F26" s="21" t="str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 t="str">
        <x:v>[CV URL]</x:v>
      </x:c>
      <x:c r="B27" s="21" t="str">
        <x:v>CV</x:v>
      </x:c>
      <x:c r="C27" s="21" t="str">
        <x:v>Replace when exported</x:v>
      </x:c>
      <x:c r="D27" s="21" t="str"/>
      <x:c r="E27" s="21" t="str"/>
      <x:c r="F27" s="21" t="str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</x:sheetData>
  <x:mergeCells>
    <x:mergeCell ref="A1:F1"/>
  </x:mergeCells>
  <x:pageMargins left="0.7" right="0.7" top="0.75" bottom="0.75" header="0.3" footer="0.3"/>
</x:worksheet>
</file>